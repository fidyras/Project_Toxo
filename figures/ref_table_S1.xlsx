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ambainarivof23/Downloads/Toxoplasmosis/figures/"/>
    </mc:Choice>
  </mc:AlternateContent>
  <xr:revisionPtr revIDLastSave="0" documentId="8_{0D410E3E-6611-2743-B163-A2DA8F9AE172}" xr6:coauthVersionLast="47" xr6:coauthVersionMax="47" xr10:uidLastSave="{00000000-0000-0000-0000-000000000000}"/>
  <bookViews>
    <workbookView xWindow="48040" yWindow="-2660" windowWidth="25240" windowHeight="13940" xr2:uid="{37B2F131-5D74-F74E-9E80-FE2C33197DEB}"/>
  </bookViews>
  <sheets>
    <sheet name="ref_table_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F5" i="1"/>
  <c r="E5" i="1"/>
</calcChain>
</file>

<file path=xl/sharedStrings.xml><?xml version="1.0" encoding="utf-8"?>
<sst xmlns="http://schemas.openxmlformats.org/spreadsheetml/2006/main" count="351" uniqueCount="209">
  <si>
    <t>authors</t>
  </si>
  <si>
    <t>country</t>
  </si>
  <si>
    <t>region</t>
  </si>
  <si>
    <t>Abdel-Hameed, 1991, Journal of Tropical Medicine and Journal of ropical medicine and hygiene</t>
  </si>
  <si>
    <t>Abdel-Hameed</t>
  </si>
  <si>
    <t>Sudan</t>
  </si>
  <si>
    <t>Northern Africa</t>
  </si>
  <si>
    <t>Abdelbaset AE et al., 2020, eterinary World</t>
  </si>
  <si>
    <t>Abdelbaset AE et al.</t>
  </si>
  <si>
    <t>Egypt</t>
  </si>
  <si>
    <t>Abongwa et al., 2019, Journal of Advances in Microbiology</t>
  </si>
  <si>
    <t>Abongwa et al.</t>
  </si>
  <si>
    <t>Cameroon</t>
  </si>
  <si>
    <t>Central Africa</t>
  </si>
  <si>
    <t>Adeniyi OT et al., 2018, Journal of Infectious Diseases and Immunity</t>
  </si>
  <si>
    <t>Adeniyi OT et al.</t>
  </si>
  <si>
    <t>Nigeria</t>
  </si>
  <si>
    <t>Western Africa</t>
  </si>
  <si>
    <t>Adou-Bryn et al.</t>
  </si>
  <si>
    <t>Ivory Coast</t>
  </si>
  <si>
    <t>Adunga B et al., 2021, Infection and Drug Resistanc</t>
  </si>
  <si>
    <t>Adunga B et al.</t>
  </si>
  <si>
    <t>Ethiopia</t>
  </si>
  <si>
    <t>East Africa</t>
  </si>
  <si>
    <t>Agmas et al., 2015, BMC research notes</t>
  </si>
  <si>
    <t>Agmas et al.</t>
  </si>
  <si>
    <t>Agordzo et al., 2020, AAS Open Res</t>
  </si>
  <si>
    <t>Agordzo et al.</t>
  </si>
  <si>
    <t>Ghana</t>
  </si>
  <si>
    <t>Ahmed et al., 1988, Transactions of the Royal Society of Tropical Medicine and Hygiene</t>
  </si>
  <si>
    <t>Ahmed et al.</t>
  </si>
  <si>
    <t>Somalia</t>
  </si>
  <si>
    <t>Akubuilo AS et al., 2020, Open Journal of Bioscience Research</t>
  </si>
  <si>
    <t>Akubuilo AS et al.</t>
  </si>
  <si>
    <t>Alayande et al., 2012, African Journal of Microbiology Research</t>
  </si>
  <si>
    <t>Alayande et al.</t>
  </si>
  <si>
    <t>Assob et al.</t>
  </si>
  <si>
    <t>Awoke K et al., 2015, Asian Pacific journal of tropical medicine</t>
  </si>
  <si>
    <t>Awoke K et al.</t>
  </si>
  <si>
    <t>Ayeah et al., 2022, Journal of Parasitology Research</t>
  </si>
  <si>
    <t>Ayeah et al.</t>
  </si>
  <si>
    <t>Ayi I et al., 2016, Tropical medicine and health</t>
  </si>
  <si>
    <t>Ayi I et al.</t>
  </si>
  <si>
    <t>BOURATBINE et al., 2001, Parasite</t>
  </si>
  <si>
    <t>BOURATBINE et al.</t>
  </si>
  <si>
    <t>Tunisia</t>
  </si>
  <si>
    <t>Ballah F et al., 2017, Asian Journal of Medicine and Health</t>
  </si>
  <si>
    <t>Ballah F et al.</t>
  </si>
  <si>
    <t>Bamba S et al., 2014, Pakistan Journal of Biological Sciences</t>
  </si>
  <si>
    <t>Bamba S et al.</t>
  </si>
  <si>
    <t>Burkina Faso</t>
  </si>
  <si>
    <t>Bamba et al., 2017, BMC infectious diseases</t>
  </si>
  <si>
    <t>Bamba et al.</t>
  </si>
  <si>
    <t>Blackburn et al., 2024, The American journal of tropical medicine and hygiene</t>
  </si>
  <si>
    <t>Blackburn et al.</t>
  </si>
  <si>
    <t>David et al, 2023, Microbes and Infectious Diseases</t>
  </si>
  <si>
    <t>David et al</t>
  </si>
  <si>
    <t>De Paschale et al., 2014, Tropical Medicine and International Health</t>
  </si>
  <si>
    <t>De Paschale et al.</t>
  </si>
  <si>
    <t>Benin</t>
  </si>
  <si>
    <t>Dumas</t>
  </si>
  <si>
    <t>Congo</t>
  </si>
  <si>
    <t>El Deeb et al., 2012, Acta Tropica</t>
  </si>
  <si>
    <t>El Deeb et al.</t>
  </si>
  <si>
    <t>Excler, 1988, Tropical medicine and parasitology</t>
  </si>
  <si>
    <t>Excler</t>
  </si>
  <si>
    <t>Burundi</t>
  </si>
  <si>
    <t>Fan et al., 2006, Transactions of The Royal Society of Tropical Medicine and Hygiene</t>
  </si>
  <si>
    <t>Fan et al.</t>
  </si>
  <si>
    <t>Democratic Republic of S√£o Tom√© and Pr√≠ncipe</t>
  </si>
  <si>
    <t>Fan et al., 2012, Parasites &amp; vectors</t>
  </si>
  <si>
    <t>Fenta., 2019, BMC infectious diseases</t>
  </si>
  <si>
    <t>Fenta.</t>
  </si>
  <si>
    <t>Frimpong et al., 2017, BMC infectious diseases</t>
  </si>
  <si>
    <t>Frimpong et al.</t>
  </si>
  <si>
    <t>Zambia</t>
  </si>
  <si>
    <t>Gascon et al.</t>
  </si>
  <si>
    <t>Rwanda</t>
  </si>
  <si>
    <t>Gelaye et al., 2015, International Journal of Infectious Diseases</t>
  </si>
  <si>
    <t>Gelaye et al.</t>
  </si>
  <si>
    <t>Guebre-Xavier, 1993, Ethiopian medical journal</t>
  </si>
  <si>
    <t>Guebre-Xavier</t>
  </si>
  <si>
    <t>Eritrea</t>
  </si>
  <si>
    <t>Gyang et al., 2015, Revista da Sociedade Brasileira de Medicina Tropica</t>
  </si>
  <si>
    <t>Gyang et al.</t>
  </si>
  <si>
    <t>Hafez Hassanain et al., 2018, Pakistan Journal of Biological Sciences: PJBS</t>
  </si>
  <si>
    <t>Hafez Hassanain et al.</t>
  </si>
  <si>
    <t>Hassan SA et al., 2023, Acta Tropica</t>
  </si>
  <si>
    <t>Hassan SA et al.</t>
  </si>
  <si>
    <t>Hoummadi L et al., 2020, African health sciences</t>
  </si>
  <si>
    <t>Hoummadi L et al.</t>
  </si>
  <si>
    <t>Morocco</t>
  </si>
  <si>
    <t>Hung et al., 2007, Transactions of The Royal Society of Tropical Medicine and Hygiene</t>
  </si>
  <si>
    <t>Hung et al.</t>
  </si>
  <si>
    <t>Hunsperger et al., 2024, Epidemiology and infection</t>
  </si>
  <si>
    <t>Hunsperger et al.</t>
  </si>
  <si>
    <t>Kenya</t>
  </si>
  <si>
    <t>Ibrahim et al., 2017, UJMR</t>
  </si>
  <si>
    <t>Ibrahim et al.</t>
  </si>
  <si>
    <t>Jula et al.</t>
  </si>
  <si>
    <t>Kamani et al., 2009, Annals of Tropical Medicine &amp; Parasitology</t>
  </si>
  <si>
    <t>Kamani et al.</t>
  </si>
  <si>
    <t>Khames M et al., 2020, Annals of Parasitology</t>
  </si>
  <si>
    <t>Khames M et al.</t>
  </si>
  <si>
    <t>Algeria</t>
  </si>
  <si>
    <t>Koffi et al., 2015, International Journal of Tropical Disease and Health</t>
  </si>
  <si>
    <t>Koffi et al.</t>
  </si>
  <si>
    <t>Kwofie KD et al., 2016, Maternal and child health journal</t>
  </si>
  <si>
    <t>Kwofie KD et al.</t>
  </si>
  <si>
    <t>Laboudi M et al., 2021, Tropical Medicine and Health</t>
  </si>
  <si>
    <t>Laboudi M et al.</t>
  </si>
  <si>
    <t>Lio et al, 2009, Annals of Tropical Medicine &amp; Parasitology</t>
  </si>
  <si>
    <t>Lio et al</t>
  </si>
  <si>
    <t>Eswatini</t>
  </si>
  <si>
    <t>Southern Africa</t>
  </si>
  <si>
    <t>Lushina M et al., 2022, East African Health Research Journal</t>
  </si>
  <si>
    <t>Lushina M et al.</t>
  </si>
  <si>
    <t>Tanzania</t>
  </si>
  <si>
    <t>Mabeku LB et al., 2018,  Journal of Scientific Research and Reports</t>
  </si>
  <si>
    <t>Mabeku LB et al.</t>
  </si>
  <si>
    <t>Monjour et al., 1982, Tropical and Geographical Medicine</t>
  </si>
  <si>
    <t>Monjour et al.</t>
  </si>
  <si>
    <t>Mauritania</t>
  </si>
  <si>
    <t>Mulugeta et al., 2020, Infectious Diseases: Research and Treatment 13</t>
  </si>
  <si>
    <t>Mulugeta et al.</t>
  </si>
  <si>
    <t>Murebwayire E et al., 2017, Tanzania Journal of Health Research</t>
  </si>
  <si>
    <t>Murebwayire E et al.</t>
  </si>
  <si>
    <t>Mwambe et al., 2013, Parasites &amp; vectors</t>
  </si>
  <si>
    <t>Mwambe et al.</t>
  </si>
  <si>
    <t>Negash et al., 2007, Central African journal of medicine</t>
  </si>
  <si>
    <t>Negash et al.</t>
  </si>
  <si>
    <t>Negero et al., 2017, International Journal of Infectious Diseases</t>
  </si>
  <si>
    <t>Negero et al.</t>
  </si>
  <si>
    <t>Negussie A et al., 2017, Int J Trop Dis Health</t>
  </si>
  <si>
    <t>Negussie A et al.</t>
  </si>
  <si>
    <t>Njunda AL et al., 2011, International Journal of Health Research</t>
  </si>
  <si>
    <t>Njunda AL et al.</t>
  </si>
  <si>
    <t>Njunda et al., 2011, J Public Health Africa</t>
  </si>
  <si>
    <t>Njunda et al.</t>
  </si>
  <si>
    <t>Okojokwo O et al., 2023, Microbes and Infectious Diseases</t>
  </si>
  <si>
    <t>Okojokwo O et al.</t>
  </si>
  <si>
    <t>Olusi et al., 1996, Scandanavian Journal of Infectious Diseases</t>
  </si>
  <si>
    <t>Olusi et al.</t>
  </si>
  <si>
    <t>Osunkalu et al., 2011, HIV/AIDS - Research and Palliative Care</t>
  </si>
  <si>
    <t>Osunkalu et al.</t>
  </si>
  <si>
    <t>Ouologuem et al., 2013, The Journal of parasitology</t>
  </si>
  <si>
    <t>Ouologuem et al.</t>
  </si>
  <si>
    <t>Mali</t>
  </si>
  <si>
    <t>Oyinloye SO et al., 2014, African Journal of Clinical and Experimental Microbiology</t>
  </si>
  <si>
    <t>Oyinloye SO et al.</t>
  </si>
  <si>
    <t>Paul et al., 2018, Tropical medicine and health</t>
  </si>
  <si>
    <t>Paul et al.</t>
  </si>
  <si>
    <t>Pegha Moukandija et al., 2017, BMC Pregnancy and Childbirth</t>
  </si>
  <si>
    <t>Pegha Moukandija et al.</t>
  </si>
  <si>
    <t>Gabon</t>
  </si>
  <si>
    <t>Rodier et al., 1995, Acta Tropica</t>
  </si>
  <si>
    <t>Rodier et al.</t>
  </si>
  <si>
    <t>Saajan AM et al., 2017, The East African Health Research Journal</t>
  </si>
  <si>
    <t>Saajan AM et al.</t>
  </si>
  <si>
    <t>Satti A.B et al., 2011, Sudan Medical Laboratory Journal</t>
  </si>
  <si>
    <t>Satti A.B et al.</t>
  </si>
  <si>
    <t>Shimelis et al., 2009, BMC Res Notes</t>
  </si>
  <si>
    <t>Shimelis et al.</t>
  </si>
  <si>
    <t>Simpore et al., 2006, Journal of Medical Virology</t>
  </si>
  <si>
    <t>Simpore et al.</t>
  </si>
  <si>
    <t>Singh B et al., 2021, Infectious Diseases in Obstetrics and Gynecology</t>
  </si>
  <si>
    <t>Singh B et al.</t>
  </si>
  <si>
    <t>Sowemimo et al., 2018, Trans R Soc Trop Med Hyg</t>
  </si>
  <si>
    <t>Sowemimo et al.</t>
  </si>
  <si>
    <t>Swai et al., 2009, Tanzan_x0018_a Journal of Health Research</t>
  </si>
  <si>
    <t>Swai et al.</t>
  </si>
  <si>
    <t>Tecle AS et al., 2020, International Journal of Medical Parisitology &amp; Epidemiology Sciences</t>
  </si>
  <si>
    <t>Tecle AS et al.</t>
  </si>
  <si>
    <t>Teweldmedihin et al., 2019, BMC infectious diseases</t>
  </si>
  <si>
    <t>Teweldmedihin et al.</t>
  </si>
  <si>
    <t>Tlamcani Z et al., 2017, Acta Medica International</t>
  </si>
  <si>
    <t>Tlamcani Z et al.</t>
  </si>
  <si>
    <t>Todjom FG et al., 2019, African Journal of Clinical and Experimental Microbiology</t>
  </si>
  <si>
    <t>Todjom FG et al.</t>
  </si>
  <si>
    <t>Uneke et al., 2007,  African journal of medicine and medical sciences</t>
  </si>
  <si>
    <t>Uneke et al.</t>
  </si>
  <si>
    <t>Van der Colf BE et al., 2020, Southern African Journal of Infectious Diseases</t>
  </si>
  <si>
    <t>Van der Colf BE et al.</t>
  </si>
  <si>
    <t>Namibia</t>
  </si>
  <si>
    <t>Walle et al., 2013, Parasites &amp; Vectors</t>
  </si>
  <si>
    <t>Walle et al.</t>
  </si>
  <si>
    <t>Woken et al,. 2018, Nigerian Journal of Parisitology</t>
  </si>
  <si>
    <t>Woken et al</t>
  </si>
  <si>
    <t>Yohanes T et al., 2017, Transl Biomed</t>
  </si>
  <si>
    <t>Yohanes T et al.</t>
  </si>
  <si>
    <t>Yusuf et al., 2017, Borno Med Journal</t>
  </si>
  <si>
    <t>Yusuf et al.</t>
  </si>
  <si>
    <t>Zakari M et al., 2020, Malawi Medical Journa</t>
  </si>
  <si>
    <t>Zakari M et al.</t>
  </si>
  <si>
    <t>Zemene et al., 2012, BMC infectious diseases</t>
  </si>
  <si>
    <t>Zemene et al.</t>
  </si>
  <si>
    <t>Year</t>
  </si>
  <si>
    <t>Dumas, 1990, Annales de la Société belge de médecine tropicale</t>
  </si>
  <si>
    <t>Adou-Bryn et al., 2004, Bulletin de la Société de Pathologie Exotique</t>
  </si>
  <si>
    <t>Assob et al., 2011, African Journal of Clinical and Experimental Microbiology</t>
  </si>
  <si>
    <t>Gascon et al., 1989, Revista do Instituto de Medicina Tropical de São Paulo</t>
  </si>
  <si>
    <t>Jula et al., 2018, Revista Española de Quimioterapia</t>
  </si>
  <si>
    <t>Nguemaim NF et al., 2020, African Journal of Clinical and Experimental Microbiology</t>
  </si>
  <si>
    <t>Nguemaim NF et al.</t>
  </si>
  <si>
    <t>Reference</t>
  </si>
  <si>
    <t>Total Positive</t>
  </si>
  <si>
    <t>Total Tested</t>
  </si>
  <si>
    <t>Volker et al., 2017, BMC pregnancy and childbirth</t>
  </si>
  <si>
    <t>Volker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</si>
</sst>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B422-C317-C84B-972F-968C4758B01D}">
  <dimension ref="A1:G87"/>
  <sheetViews>
    <sheetView tabSelected="1" workbookViewId="0">
      <selection sqref="A1:XFD1048576"/>
    </sheetView>
  </sheetViews>
  <sheetFormatPr baseColWidth="10" defaultRowHeight="16" x14ac:dyDescent="0.2"/>
  <cols>
    <col min="1" max="1" width="22.83203125" customWidth="1"/>
    <col min="7" max="7" width="70.1640625" style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196</v>
      </c>
      <c r="E1" t="s">
        <v>205</v>
      </c>
      <c r="F1" t="s">
        <v>206</v>
      </c>
      <c r="G1" s="1" t="s">
        <v>204</v>
      </c>
    </row>
    <row r="2" spans="1:7" x14ac:dyDescent="0.2">
      <c r="A2" t="s">
        <v>121</v>
      </c>
      <c r="B2" t="s">
        <v>122</v>
      </c>
      <c r="C2" t="s">
        <v>17</v>
      </c>
      <c r="D2">
        <v>1973</v>
      </c>
      <c r="E2">
        <v>847</v>
      </c>
      <c r="F2">
        <v>5535</v>
      </c>
      <c r="G2" s="1" t="s">
        <v>120</v>
      </c>
    </row>
    <row r="3" spans="1:7" x14ac:dyDescent="0.2">
      <c r="A3" t="s">
        <v>65</v>
      </c>
      <c r="B3" t="s">
        <v>66</v>
      </c>
      <c r="C3" t="s">
        <v>23</v>
      </c>
      <c r="D3">
        <v>1985</v>
      </c>
      <c r="E3">
        <v>219</v>
      </c>
      <c r="F3">
        <v>544</v>
      </c>
      <c r="G3" s="1" t="s">
        <v>64</v>
      </c>
    </row>
    <row r="4" spans="1:7" x14ac:dyDescent="0.2">
      <c r="A4" t="s">
        <v>30</v>
      </c>
      <c r="B4" t="s">
        <v>31</v>
      </c>
      <c r="C4" t="s">
        <v>23</v>
      </c>
      <c r="D4">
        <v>1987</v>
      </c>
      <c r="E4">
        <v>236</v>
      </c>
      <c r="F4">
        <v>566</v>
      </c>
      <c r="G4" s="1" t="s">
        <v>29</v>
      </c>
    </row>
    <row r="5" spans="1:7" x14ac:dyDescent="0.2">
      <c r="A5" t="s">
        <v>60</v>
      </c>
      <c r="B5" t="s">
        <v>61</v>
      </c>
      <c r="C5" t="s">
        <v>13</v>
      </c>
      <c r="D5">
        <v>1987</v>
      </c>
      <c r="E5">
        <f>437+264</f>
        <v>701</v>
      </c>
      <c r="F5">
        <f>1124+624</f>
        <v>1748</v>
      </c>
      <c r="G5" s="1" t="s">
        <v>197</v>
      </c>
    </row>
    <row r="6" spans="1:7" x14ac:dyDescent="0.2">
      <c r="A6" t="s">
        <v>76</v>
      </c>
      <c r="B6" t="s">
        <v>77</v>
      </c>
      <c r="C6" t="s">
        <v>23</v>
      </c>
      <c r="D6">
        <v>1989</v>
      </c>
      <c r="E6">
        <v>32</v>
      </c>
      <c r="F6">
        <v>272</v>
      </c>
      <c r="G6" s="1" t="s">
        <v>200</v>
      </c>
    </row>
    <row r="7" spans="1:7" x14ac:dyDescent="0.2">
      <c r="A7" t="s">
        <v>81</v>
      </c>
      <c r="B7" t="s">
        <v>22</v>
      </c>
      <c r="C7" t="s">
        <v>23</v>
      </c>
      <c r="D7">
        <v>1990</v>
      </c>
      <c r="E7">
        <f>673+83</f>
        <v>756</v>
      </c>
      <c r="F7">
        <f>919+97</f>
        <v>1016</v>
      </c>
      <c r="G7" s="1" t="s">
        <v>80</v>
      </c>
    </row>
    <row r="8" spans="1:7" x14ac:dyDescent="0.2">
      <c r="A8" t="s">
        <v>4</v>
      </c>
      <c r="B8" t="s">
        <v>5</v>
      </c>
      <c r="C8" t="s">
        <v>6</v>
      </c>
      <c r="D8">
        <v>1991</v>
      </c>
      <c r="E8">
        <v>69</v>
      </c>
      <c r="F8">
        <v>195</v>
      </c>
      <c r="G8" s="1" t="s">
        <v>3</v>
      </c>
    </row>
    <row r="9" spans="1:7" x14ac:dyDescent="0.2">
      <c r="A9" t="s">
        <v>156</v>
      </c>
      <c r="B9" t="s">
        <v>59</v>
      </c>
      <c r="C9" t="s">
        <v>17</v>
      </c>
      <c r="D9">
        <v>1993</v>
      </c>
      <c r="E9">
        <v>113</v>
      </c>
      <c r="F9">
        <v>211</v>
      </c>
      <c r="G9" s="1" t="s">
        <v>155</v>
      </c>
    </row>
    <row r="10" spans="1:7" x14ac:dyDescent="0.2">
      <c r="A10" t="s">
        <v>142</v>
      </c>
      <c r="B10" t="s">
        <v>16</v>
      </c>
      <c r="C10" t="s">
        <v>17</v>
      </c>
      <c r="D10">
        <v>1995</v>
      </c>
      <c r="E10">
        <v>259</v>
      </c>
      <c r="F10">
        <v>606</v>
      </c>
      <c r="G10" s="1" t="s">
        <v>141</v>
      </c>
    </row>
    <row r="11" spans="1:7" x14ac:dyDescent="0.2">
      <c r="A11" t="s">
        <v>18</v>
      </c>
      <c r="B11" t="s">
        <v>19</v>
      </c>
      <c r="C11" t="s">
        <v>17</v>
      </c>
      <c r="D11">
        <v>2000</v>
      </c>
      <c r="E11">
        <v>579</v>
      </c>
      <c r="F11">
        <v>1025</v>
      </c>
      <c r="G11" s="1" t="s">
        <v>198</v>
      </c>
    </row>
    <row r="12" spans="1:7" x14ac:dyDescent="0.2">
      <c r="A12" t="s">
        <v>44</v>
      </c>
      <c r="B12" t="s">
        <v>45</v>
      </c>
      <c r="C12" t="s">
        <v>6</v>
      </c>
      <c r="D12">
        <v>2001</v>
      </c>
      <c r="E12">
        <v>405</v>
      </c>
      <c r="F12">
        <v>828</v>
      </c>
      <c r="G12" s="1" t="s">
        <v>43</v>
      </c>
    </row>
    <row r="13" spans="1:7" x14ac:dyDescent="0.2">
      <c r="A13" t="s">
        <v>68</v>
      </c>
      <c r="B13" t="s">
        <v>69</v>
      </c>
      <c r="C13" t="s">
        <v>13</v>
      </c>
      <c r="D13">
        <v>2003</v>
      </c>
      <c r="E13">
        <v>26</v>
      </c>
      <c r="F13">
        <v>121</v>
      </c>
      <c r="G13" s="1" t="s">
        <v>67</v>
      </c>
    </row>
    <row r="14" spans="1:7" x14ac:dyDescent="0.2">
      <c r="A14" t="s">
        <v>93</v>
      </c>
      <c r="B14" t="s">
        <v>69</v>
      </c>
      <c r="C14" t="s">
        <v>13</v>
      </c>
      <c r="D14">
        <v>2003</v>
      </c>
      <c r="E14">
        <v>321</v>
      </c>
      <c r="F14">
        <v>436</v>
      </c>
      <c r="G14" s="1" t="s">
        <v>92</v>
      </c>
    </row>
    <row r="15" spans="1:7" x14ac:dyDescent="0.2">
      <c r="A15" t="s">
        <v>164</v>
      </c>
      <c r="B15" t="s">
        <v>50</v>
      </c>
      <c r="C15" t="s">
        <v>17</v>
      </c>
      <c r="D15">
        <v>2004</v>
      </c>
      <c r="E15">
        <v>85</v>
      </c>
      <c r="F15">
        <v>336</v>
      </c>
      <c r="G15" s="1" t="s">
        <v>163</v>
      </c>
    </row>
    <row r="16" spans="1:7" x14ac:dyDescent="0.2">
      <c r="A16" t="s">
        <v>170</v>
      </c>
      <c r="B16" t="s">
        <v>117</v>
      </c>
      <c r="C16" t="s">
        <v>23</v>
      </c>
      <c r="D16">
        <v>2005</v>
      </c>
      <c r="E16">
        <v>90</v>
      </c>
      <c r="F16">
        <v>199</v>
      </c>
      <c r="G16" s="1" t="s">
        <v>169</v>
      </c>
    </row>
    <row r="17" spans="1:7" x14ac:dyDescent="0.2">
      <c r="A17" t="s">
        <v>160</v>
      </c>
      <c r="B17" t="s">
        <v>5</v>
      </c>
      <c r="C17" t="s">
        <v>6</v>
      </c>
      <c r="D17">
        <v>2006</v>
      </c>
      <c r="E17">
        <v>53</v>
      </c>
      <c r="F17">
        <v>234</v>
      </c>
      <c r="G17" s="1" t="s">
        <v>159</v>
      </c>
    </row>
    <row r="18" spans="1:7" x14ac:dyDescent="0.2">
      <c r="A18" t="s">
        <v>130</v>
      </c>
      <c r="B18" t="s">
        <v>22</v>
      </c>
      <c r="C18" t="s">
        <v>23</v>
      </c>
      <c r="D18">
        <v>2007</v>
      </c>
      <c r="E18">
        <v>40</v>
      </c>
      <c r="F18">
        <v>68</v>
      </c>
      <c r="G18" s="1" t="s">
        <v>129</v>
      </c>
    </row>
    <row r="19" spans="1:7" x14ac:dyDescent="0.2">
      <c r="A19" t="s">
        <v>146</v>
      </c>
      <c r="B19" t="s">
        <v>147</v>
      </c>
      <c r="C19" t="s">
        <v>17</v>
      </c>
      <c r="D19">
        <v>2007</v>
      </c>
      <c r="E19">
        <v>21</v>
      </c>
      <c r="F19">
        <v>288</v>
      </c>
      <c r="G19" s="1" t="s">
        <v>145</v>
      </c>
    </row>
    <row r="20" spans="1:7" x14ac:dyDescent="0.2">
      <c r="A20" t="s">
        <v>153</v>
      </c>
      <c r="B20" t="s">
        <v>154</v>
      </c>
      <c r="C20" t="s">
        <v>13</v>
      </c>
      <c r="D20">
        <v>2007</v>
      </c>
      <c r="E20">
        <v>416</v>
      </c>
      <c r="F20">
        <v>973</v>
      </c>
      <c r="G20" s="1" t="s">
        <v>152</v>
      </c>
    </row>
    <row r="21" spans="1:7" x14ac:dyDescent="0.2">
      <c r="A21" t="s">
        <v>162</v>
      </c>
      <c r="B21" t="s">
        <v>22</v>
      </c>
      <c r="C21" t="s">
        <v>23</v>
      </c>
      <c r="D21">
        <v>2007</v>
      </c>
      <c r="E21">
        <v>209</v>
      </c>
      <c r="F21">
        <v>238</v>
      </c>
      <c r="G21" s="1" t="s">
        <v>161</v>
      </c>
    </row>
    <row r="22" spans="1:7" x14ac:dyDescent="0.2">
      <c r="A22" t="s">
        <v>180</v>
      </c>
      <c r="B22" t="s">
        <v>16</v>
      </c>
      <c r="C22" t="s">
        <v>17</v>
      </c>
      <c r="D22">
        <v>2007</v>
      </c>
      <c r="E22">
        <v>30</v>
      </c>
      <c r="F22">
        <v>134</v>
      </c>
      <c r="G22" s="1" t="s">
        <v>179</v>
      </c>
    </row>
    <row r="23" spans="1:7" x14ac:dyDescent="0.2">
      <c r="A23" t="s">
        <v>101</v>
      </c>
      <c r="B23" t="s">
        <v>16</v>
      </c>
      <c r="C23" t="s">
        <v>17</v>
      </c>
      <c r="D23">
        <v>2008</v>
      </c>
      <c r="E23">
        <v>42</v>
      </c>
      <c r="F23">
        <v>170</v>
      </c>
      <c r="G23" s="1" t="s">
        <v>100</v>
      </c>
    </row>
    <row r="24" spans="1:7" x14ac:dyDescent="0.2">
      <c r="A24" t="s">
        <v>136</v>
      </c>
      <c r="B24" t="s">
        <v>12</v>
      </c>
      <c r="C24" t="s">
        <v>13</v>
      </c>
      <c r="D24">
        <v>2008</v>
      </c>
      <c r="E24">
        <v>72</v>
      </c>
      <c r="F24">
        <v>110</v>
      </c>
      <c r="G24" s="1" t="s">
        <v>135</v>
      </c>
    </row>
    <row r="25" spans="1:7" x14ac:dyDescent="0.2">
      <c r="A25" t="s">
        <v>112</v>
      </c>
      <c r="B25" t="s">
        <v>113</v>
      </c>
      <c r="C25" t="s">
        <v>114</v>
      </c>
      <c r="D25">
        <v>2009</v>
      </c>
      <c r="E25">
        <v>9</v>
      </c>
      <c r="F25">
        <v>93</v>
      </c>
      <c r="G25" s="1" t="s">
        <v>111</v>
      </c>
    </row>
    <row r="26" spans="1:7" x14ac:dyDescent="0.2">
      <c r="A26" t="s">
        <v>138</v>
      </c>
      <c r="B26" t="s">
        <v>12</v>
      </c>
      <c r="C26" t="s">
        <v>13</v>
      </c>
      <c r="D26">
        <v>2009</v>
      </c>
      <c r="E26">
        <v>77</v>
      </c>
      <c r="F26">
        <v>110</v>
      </c>
      <c r="G26" s="1" t="s">
        <v>137</v>
      </c>
    </row>
    <row r="27" spans="1:7" x14ac:dyDescent="0.2">
      <c r="A27" t="s">
        <v>36</v>
      </c>
      <c r="B27" t="s">
        <v>12</v>
      </c>
      <c r="C27" t="s">
        <v>13</v>
      </c>
      <c r="D27">
        <v>2010</v>
      </c>
      <c r="E27">
        <v>93</v>
      </c>
      <c r="F27">
        <v>133</v>
      </c>
      <c r="G27" s="1" t="s">
        <v>199</v>
      </c>
    </row>
    <row r="28" spans="1:7" x14ac:dyDescent="0.2">
      <c r="A28" t="s">
        <v>63</v>
      </c>
      <c r="B28" t="s">
        <v>9</v>
      </c>
      <c r="C28" t="s">
        <v>6</v>
      </c>
      <c r="D28">
        <v>2010</v>
      </c>
      <c r="E28">
        <v>218</v>
      </c>
      <c r="F28">
        <v>323</v>
      </c>
      <c r="G28" s="1" t="s">
        <v>62</v>
      </c>
    </row>
    <row r="29" spans="1:7" x14ac:dyDescent="0.2">
      <c r="A29" t="s">
        <v>68</v>
      </c>
      <c r="B29" t="s">
        <v>69</v>
      </c>
      <c r="C29" t="s">
        <v>13</v>
      </c>
      <c r="D29">
        <v>2010</v>
      </c>
      <c r="E29">
        <v>131</v>
      </c>
      <c r="F29">
        <v>196</v>
      </c>
      <c r="G29" s="1" t="s">
        <v>70</v>
      </c>
    </row>
    <row r="30" spans="1:7" x14ac:dyDescent="0.2">
      <c r="A30" t="s">
        <v>79</v>
      </c>
      <c r="B30" t="s">
        <v>22</v>
      </c>
      <c r="C30" t="s">
        <v>23</v>
      </c>
      <c r="D30">
        <v>2010</v>
      </c>
      <c r="E30">
        <v>246</v>
      </c>
      <c r="F30">
        <v>288</v>
      </c>
      <c r="G30" s="1" t="s">
        <v>78</v>
      </c>
    </row>
    <row r="31" spans="1:7" x14ac:dyDescent="0.2">
      <c r="A31" t="s">
        <v>144</v>
      </c>
      <c r="B31" t="s">
        <v>16</v>
      </c>
      <c r="C31" t="s">
        <v>17</v>
      </c>
      <c r="D31">
        <v>2010</v>
      </c>
      <c r="E31">
        <v>180</v>
      </c>
      <c r="F31">
        <v>308</v>
      </c>
      <c r="G31" s="1" t="s">
        <v>143</v>
      </c>
    </row>
    <row r="32" spans="1:7" x14ac:dyDescent="0.2">
      <c r="A32" t="s">
        <v>176</v>
      </c>
      <c r="B32" t="s">
        <v>91</v>
      </c>
      <c r="C32" t="s">
        <v>6</v>
      </c>
      <c r="D32">
        <v>2010</v>
      </c>
      <c r="E32">
        <v>284</v>
      </c>
      <c r="F32">
        <v>1367</v>
      </c>
      <c r="G32" s="1" t="s">
        <v>175</v>
      </c>
    </row>
    <row r="33" spans="1:7" x14ac:dyDescent="0.2">
      <c r="A33" t="s">
        <v>35</v>
      </c>
      <c r="B33" t="s">
        <v>16</v>
      </c>
      <c r="C33" t="s">
        <v>17</v>
      </c>
      <c r="D33">
        <v>2011</v>
      </c>
      <c r="E33">
        <v>22</v>
      </c>
      <c r="F33">
        <v>84</v>
      </c>
      <c r="G33" s="1" t="s">
        <v>34</v>
      </c>
    </row>
    <row r="34" spans="1:7" x14ac:dyDescent="0.2">
      <c r="A34" t="s">
        <v>58</v>
      </c>
      <c r="B34" t="s">
        <v>59</v>
      </c>
      <c r="C34" t="s">
        <v>17</v>
      </c>
      <c r="D34">
        <v>2011</v>
      </c>
      <c r="E34">
        <v>85</v>
      </c>
      <c r="F34">
        <v>283</v>
      </c>
      <c r="G34" s="1" t="s">
        <v>57</v>
      </c>
    </row>
    <row r="35" spans="1:7" x14ac:dyDescent="0.2">
      <c r="A35" t="s">
        <v>195</v>
      </c>
      <c r="B35" t="s">
        <v>22</v>
      </c>
      <c r="C35" t="s">
        <v>23</v>
      </c>
      <c r="D35">
        <v>2011</v>
      </c>
      <c r="E35">
        <v>168</v>
      </c>
      <c r="F35">
        <v>201</v>
      </c>
      <c r="G35" s="1" t="s">
        <v>194</v>
      </c>
    </row>
    <row r="36" spans="1:7" x14ac:dyDescent="0.2">
      <c r="A36" t="s">
        <v>49</v>
      </c>
      <c r="B36" t="s">
        <v>50</v>
      </c>
      <c r="C36" t="s">
        <v>17</v>
      </c>
      <c r="D36">
        <v>2012</v>
      </c>
      <c r="E36">
        <v>121</v>
      </c>
      <c r="F36">
        <v>348</v>
      </c>
      <c r="G36" s="1" t="s">
        <v>48</v>
      </c>
    </row>
    <row r="37" spans="1:7" x14ac:dyDescent="0.2">
      <c r="A37" t="s">
        <v>128</v>
      </c>
      <c r="B37" t="s">
        <v>117</v>
      </c>
      <c r="C37" t="s">
        <v>23</v>
      </c>
      <c r="D37">
        <v>2012</v>
      </c>
      <c r="E37">
        <v>109</v>
      </c>
      <c r="F37">
        <v>350</v>
      </c>
      <c r="G37" s="1" t="s">
        <v>127</v>
      </c>
    </row>
    <row r="38" spans="1:7" x14ac:dyDescent="0.2">
      <c r="A38" t="s">
        <v>25</v>
      </c>
      <c r="B38" t="s">
        <v>22</v>
      </c>
      <c r="C38" t="s">
        <v>23</v>
      </c>
      <c r="D38">
        <v>2013</v>
      </c>
      <c r="E38">
        <v>180</v>
      </c>
      <c r="F38">
        <v>263</v>
      </c>
      <c r="G38" s="1" t="s">
        <v>24</v>
      </c>
    </row>
    <row r="39" spans="1:7" x14ac:dyDescent="0.2">
      <c r="A39" t="s">
        <v>38</v>
      </c>
      <c r="B39" t="s">
        <v>22</v>
      </c>
      <c r="C39" t="s">
        <v>23</v>
      </c>
      <c r="D39">
        <v>2013</v>
      </c>
      <c r="E39">
        <v>71</v>
      </c>
      <c r="F39">
        <v>384</v>
      </c>
      <c r="G39" s="1" t="s">
        <v>37</v>
      </c>
    </row>
    <row r="40" spans="1:7" x14ac:dyDescent="0.2">
      <c r="A40" t="s">
        <v>52</v>
      </c>
      <c r="B40" t="s">
        <v>50</v>
      </c>
      <c r="C40" t="s">
        <v>17</v>
      </c>
      <c r="D40">
        <v>2013</v>
      </c>
      <c r="E40">
        <v>86</v>
      </c>
      <c r="F40">
        <v>267</v>
      </c>
      <c r="G40" s="1" t="s">
        <v>51</v>
      </c>
    </row>
    <row r="41" spans="1:7" x14ac:dyDescent="0.2">
      <c r="A41" t="s">
        <v>84</v>
      </c>
      <c r="B41" t="s">
        <v>16</v>
      </c>
      <c r="C41" t="s">
        <v>17</v>
      </c>
      <c r="D41">
        <v>2013</v>
      </c>
      <c r="E41">
        <v>52</v>
      </c>
      <c r="F41">
        <v>226</v>
      </c>
      <c r="G41" s="1" t="s">
        <v>83</v>
      </c>
    </row>
    <row r="42" spans="1:7" x14ac:dyDescent="0.2">
      <c r="A42" t="s">
        <v>134</v>
      </c>
      <c r="B42" t="s">
        <v>22</v>
      </c>
      <c r="C42" t="s">
        <v>23</v>
      </c>
      <c r="D42">
        <v>2013</v>
      </c>
      <c r="E42">
        <v>105</v>
      </c>
      <c r="F42">
        <v>301</v>
      </c>
      <c r="G42" s="1" t="s">
        <v>133</v>
      </c>
    </row>
    <row r="43" spans="1:7" x14ac:dyDescent="0.2">
      <c r="A43" t="s">
        <v>149</v>
      </c>
      <c r="B43" t="s">
        <v>16</v>
      </c>
      <c r="C43" t="s">
        <v>17</v>
      </c>
      <c r="D43">
        <v>2013</v>
      </c>
      <c r="E43">
        <v>19</v>
      </c>
      <c r="F43">
        <v>87</v>
      </c>
      <c r="G43" s="1" t="s">
        <v>148</v>
      </c>
    </row>
    <row r="44" spans="1:7" x14ac:dyDescent="0.2">
      <c r="A44" t="s">
        <v>158</v>
      </c>
      <c r="B44" t="s">
        <v>117</v>
      </c>
      <c r="C44" t="s">
        <v>23</v>
      </c>
      <c r="D44">
        <v>2013</v>
      </c>
      <c r="E44">
        <v>123</v>
      </c>
      <c r="F44">
        <v>310</v>
      </c>
      <c r="G44" s="1" t="s">
        <v>157</v>
      </c>
    </row>
    <row r="45" spans="1:7" x14ac:dyDescent="0.2">
      <c r="A45" t="s">
        <v>185</v>
      </c>
      <c r="B45" t="s">
        <v>22</v>
      </c>
      <c r="C45" t="s">
        <v>23</v>
      </c>
      <c r="D45">
        <v>2013</v>
      </c>
      <c r="E45">
        <v>71</v>
      </c>
      <c r="F45">
        <v>100</v>
      </c>
      <c r="G45" s="1" t="s">
        <v>184</v>
      </c>
    </row>
    <row r="46" spans="1:7" x14ac:dyDescent="0.2">
      <c r="A46" t="s">
        <v>90</v>
      </c>
      <c r="B46" t="s">
        <v>91</v>
      </c>
      <c r="C46" t="s">
        <v>6</v>
      </c>
      <c r="D46">
        <v>2014</v>
      </c>
      <c r="E46">
        <v>1490</v>
      </c>
      <c r="F46">
        <v>5078</v>
      </c>
      <c r="G46" s="1" t="s">
        <v>89</v>
      </c>
    </row>
    <row r="47" spans="1:7" x14ac:dyDescent="0.2">
      <c r="A47" t="s">
        <v>106</v>
      </c>
      <c r="B47" t="s">
        <v>19</v>
      </c>
      <c r="C47" t="s">
        <v>17</v>
      </c>
      <c r="D47">
        <v>2014</v>
      </c>
      <c r="E47">
        <v>226</v>
      </c>
      <c r="F47">
        <v>385</v>
      </c>
      <c r="G47" s="1" t="s">
        <v>105</v>
      </c>
    </row>
    <row r="48" spans="1:7" x14ac:dyDescent="0.2">
      <c r="A48" t="s">
        <v>110</v>
      </c>
      <c r="B48" t="s">
        <v>91</v>
      </c>
      <c r="C48" t="s">
        <v>6</v>
      </c>
      <c r="D48">
        <v>2014</v>
      </c>
      <c r="E48">
        <v>248</v>
      </c>
      <c r="F48">
        <v>576</v>
      </c>
      <c r="G48" s="1" t="s">
        <v>109</v>
      </c>
    </row>
    <row r="49" spans="1:7" x14ac:dyDescent="0.2">
      <c r="A49" t="s">
        <v>119</v>
      </c>
      <c r="B49" t="s">
        <v>12</v>
      </c>
      <c r="C49" t="s">
        <v>13</v>
      </c>
      <c r="D49">
        <v>2014</v>
      </c>
      <c r="E49">
        <v>229</v>
      </c>
      <c r="F49">
        <v>643</v>
      </c>
      <c r="G49" s="1" t="s">
        <v>118</v>
      </c>
    </row>
    <row r="50" spans="1:7" x14ac:dyDescent="0.2">
      <c r="A50" t="s">
        <v>126</v>
      </c>
      <c r="B50" t="s">
        <v>77</v>
      </c>
      <c r="C50" t="s">
        <v>23</v>
      </c>
      <c r="D50">
        <v>2014</v>
      </c>
      <c r="E50">
        <v>47</v>
      </c>
      <c r="F50">
        <v>384</v>
      </c>
      <c r="G50" s="1" t="s">
        <v>125</v>
      </c>
    </row>
    <row r="51" spans="1:7" x14ac:dyDescent="0.2">
      <c r="A51" t="s">
        <v>42</v>
      </c>
      <c r="B51" t="s">
        <v>28</v>
      </c>
      <c r="C51" t="s">
        <v>17</v>
      </c>
      <c r="D51">
        <v>2015</v>
      </c>
      <c r="E51">
        <v>64</v>
      </c>
      <c r="F51">
        <v>125</v>
      </c>
      <c r="G51" s="1" t="s">
        <v>41</v>
      </c>
    </row>
    <row r="52" spans="1:7" x14ac:dyDescent="0.2">
      <c r="A52" t="s">
        <v>74</v>
      </c>
      <c r="B52" t="s">
        <v>75</v>
      </c>
      <c r="C52" t="s">
        <v>23</v>
      </c>
      <c r="D52">
        <v>2015</v>
      </c>
      <c r="E52">
        <v>24</v>
      </c>
      <c r="F52">
        <v>411</v>
      </c>
      <c r="G52" s="1" t="s">
        <v>73</v>
      </c>
    </row>
    <row r="53" spans="1:7" x14ac:dyDescent="0.2">
      <c r="A53" t="s">
        <v>99</v>
      </c>
      <c r="B53" t="s">
        <v>22</v>
      </c>
      <c r="C53" t="s">
        <v>23</v>
      </c>
      <c r="D53">
        <v>2015</v>
      </c>
      <c r="E53">
        <v>96</v>
      </c>
      <c r="F53">
        <v>396</v>
      </c>
      <c r="G53" s="1" t="s">
        <v>201</v>
      </c>
    </row>
    <row r="54" spans="1:7" x14ac:dyDescent="0.2">
      <c r="A54" t="s">
        <v>108</v>
      </c>
      <c r="B54" t="s">
        <v>28</v>
      </c>
      <c r="C54" t="s">
        <v>17</v>
      </c>
      <c r="D54">
        <v>2015</v>
      </c>
      <c r="E54">
        <v>35</v>
      </c>
      <c r="F54">
        <v>93</v>
      </c>
      <c r="G54" s="1" t="s">
        <v>107</v>
      </c>
    </row>
    <row r="55" spans="1:7" x14ac:dyDescent="0.2">
      <c r="A55" t="s">
        <v>124</v>
      </c>
      <c r="B55" t="s">
        <v>22</v>
      </c>
      <c r="C55" t="s">
        <v>23</v>
      </c>
      <c r="D55">
        <v>2015</v>
      </c>
      <c r="E55">
        <v>148</v>
      </c>
      <c r="F55">
        <v>233</v>
      </c>
      <c r="G55" s="1" t="s">
        <v>123</v>
      </c>
    </row>
    <row r="56" spans="1:7" x14ac:dyDescent="0.2">
      <c r="A56" t="s">
        <v>189</v>
      </c>
      <c r="B56" t="s">
        <v>22</v>
      </c>
      <c r="C56" t="s">
        <v>23</v>
      </c>
      <c r="D56">
        <v>2015</v>
      </c>
      <c r="E56">
        <v>184</v>
      </c>
      <c r="F56">
        <v>232</v>
      </c>
      <c r="G56" s="1" t="s">
        <v>188</v>
      </c>
    </row>
    <row r="57" spans="1:7" x14ac:dyDescent="0.2">
      <c r="A57" t="s">
        <v>191</v>
      </c>
      <c r="B57" t="s">
        <v>16</v>
      </c>
      <c r="C57" t="s">
        <v>17</v>
      </c>
      <c r="D57">
        <v>2015</v>
      </c>
      <c r="E57">
        <v>130</v>
      </c>
      <c r="F57">
        <v>200</v>
      </c>
      <c r="G57" s="1" t="s">
        <v>190</v>
      </c>
    </row>
    <row r="58" spans="1:7" x14ac:dyDescent="0.2">
      <c r="A58" t="s">
        <v>47</v>
      </c>
      <c r="B58" t="s">
        <v>16</v>
      </c>
      <c r="C58" t="s">
        <v>17</v>
      </c>
      <c r="D58">
        <v>2016</v>
      </c>
      <c r="E58">
        <v>112</v>
      </c>
      <c r="F58">
        <v>400</v>
      </c>
      <c r="G58" s="1" t="s">
        <v>46</v>
      </c>
    </row>
    <row r="59" spans="1:7" x14ac:dyDescent="0.2">
      <c r="A59" t="s">
        <v>72</v>
      </c>
      <c r="B59" t="s">
        <v>22</v>
      </c>
      <c r="C59" t="s">
        <v>23</v>
      </c>
      <c r="D59">
        <v>2016</v>
      </c>
      <c r="E59">
        <v>382</v>
      </c>
      <c r="F59">
        <v>494</v>
      </c>
      <c r="G59" s="1" t="s">
        <v>71</v>
      </c>
    </row>
    <row r="60" spans="1:7" x14ac:dyDescent="0.2">
      <c r="A60" t="s">
        <v>86</v>
      </c>
      <c r="B60" t="s">
        <v>9</v>
      </c>
      <c r="C60" t="s">
        <v>6</v>
      </c>
      <c r="D60">
        <v>2016</v>
      </c>
      <c r="E60">
        <v>79</v>
      </c>
      <c r="F60">
        <v>388</v>
      </c>
      <c r="G60" s="1" t="s">
        <v>85</v>
      </c>
    </row>
    <row r="61" spans="1:7" x14ac:dyDescent="0.2">
      <c r="A61" t="s">
        <v>98</v>
      </c>
      <c r="B61" t="s">
        <v>16</v>
      </c>
      <c r="C61" t="s">
        <v>17</v>
      </c>
      <c r="D61">
        <v>2016</v>
      </c>
      <c r="E61">
        <v>24</v>
      </c>
      <c r="F61">
        <v>320</v>
      </c>
      <c r="G61" s="1" t="s">
        <v>97</v>
      </c>
    </row>
    <row r="62" spans="1:7" x14ac:dyDescent="0.2">
      <c r="A62" t="s">
        <v>132</v>
      </c>
      <c r="B62" t="s">
        <v>22</v>
      </c>
      <c r="C62" t="s">
        <v>23</v>
      </c>
      <c r="D62">
        <v>2016</v>
      </c>
      <c r="E62">
        <v>159</v>
      </c>
      <c r="F62">
        <v>210</v>
      </c>
      <c r="G62" s="1" t="s">
        <v>131</v>
      </c>
    </row>
    <row r="63" spans="1:7" x14ac:dyDescent="0.2">
      <c r="A63" t="s">
        <v>168</v>
      </c>
      <c r="B63" t="s">
        <v>16</v>
      </c>
      <c r="C63" t="s">
        <v>17</v>
      </c>
      <c r="D63">
        <v>2016</v>
      </c>
      <c r="E63">
        <v>19</v>
      </c>
      <c r="F63">
        <v>272</v>
      </c>
      <c r="G63" s="1" t="s">
        <v>167</v>
      </c>
    </row>
    <row r="64" spans="1:7" x14ac:dyDescent="0.2">
      <c r="A64" t="s">
        <v>172</v>
      </c>
      <c r="B64" t="s">
        <v>82</v>
      </c>
      <c r="C64" t="s">
        <v>23</v>
      </c>
      <c r="D64">
        <v>2016</v>
      </c>
      <c r="E64">
        <v>112</v>
      </c>
      <c r="F64">
        <v>210</v>
      </c>
      <c r="G64" s="1" t="s">
        <v>171</v>
      </c>
    </row>
    <row r="65" spans="1:7" x14ac:dyDescent="0.2">
      <c r="A65" t="s">
        <v>178</v>
      </c>
      <c r="B65" t="s">
        <v>12</v>
      </c>
      <c r="C65" t="s">
        <v>13</v>
      </c>
      <c r="D65">
        <v>2016</v>
      </c>
      <c r="E65">
        <v>81</v>
      </c>
      <c r="F65">
        <v>176</v>
      </c>
      <c r="G65" s="1" t="s">
        <v>177</v>
      </c>
    </row>
    <row r="66" spans="1:7" x14ac:dyDescent="0.2">
      <c r="A66" t="s">
        <v>182</v>
      </c>
      <c r="B66" t="s">
        <v>183</v>
      </c>
      <c r="C66" t="s">
        <v>114</v>
      </c>
      <c r="D66">
        <v>2016</v>
      </c>
      <c r="E66">
        <v>9</v>
      </c>
      <c r="F66">
        <v>344</v>
      </c>
      <c r="G66" s="1" t="s">
        <v>181</v>
      </c>
    </row>
    <row r="67" spans="1:7" x14ac:dyDescent="0.2">
      <c r="A67" t="s">
        <v>187</v>
      </c>
      <c r="B67" t="s">
        <v>16</v>
      </c>
      <c r="C67" t="s">
        <v>17</v>
      </c>
      <c r="D67">
        <v>2016</v>
      </c>
      <c r="E67">
        <v>56</v>
      </c>
      <c r="F67">
        <v>206</v>
      </c>
      <c r="G67" s="1" t="s">
        <v>186</v>
      </c>
    </row>
    <row r="68" spans="1:7" x14ac:dyDescent="0.2">
      <c r="A68" t="s">
        <v>8</v>
      </c>
      <c r="B68" t="s">
        <v>9</v>
      </c>
      <c r="C68" t="s">
        <v>6</v>
      </c>
      <c r="D68">
        <v>2017</v>
      </c>
      <c r="E68">
        <v>20</v>
      </c>
      <c r="F68">
        <v>88</v>
      </c>
      <c r="G68" s="1" t="s">
        <v>7</v>
      </c>
    </row>
    <row r="69" spans="1:7" x14ac:dyDescent="0.2">
      <c r="A69" t="s">
        <v>11</v>
      </c>
      <c r="B69" t="s">
        <v>12</v>
      </c>
      <c r="C69" t="s">
        <v>13</v>
      </c>
      <c r="D69">
        <v>2017</v>
      </c>
      <c r="E69">
        <v>139</v>
      </c>
      <c r="F69">
        <v>606</v>
      </c>
      <c r="G69" s="1" t="s">
        <v>10</v>
      </c>
    </row>
    <row r="70" spans="1:7" x14ac:dyDescent="0.2">
      <c r="A70" t="s">
        <v>15</v>
      </c>
      <c r="B70" t="s">
        <v>16</v>
      </c>
      <c r="C70" t="s">
        <v>17</v>
      </c>
      <c r="D70">
        <v>2017</v>
      </c>
      <c r="E70">
        <v>181</v>
      </c>
      <c r="F70">
        <v>369</v>
      </c>
      <c r="G70" s="1" t="s">
        <v>14</v>
      </c>
    </row>
    <row r="71" spans="1:7" x14ac:dyDescent="0.2">
      <c r="A71" t="s">
        <v>95</v>
      </c>
      <c r="B71" t="s">
        <v>96</v>
      </c>
      <c r="C71" t="s">
        <v>23</v>
      </c>
      <c r="D71">
        <v>2017</v>
      </c>
      <c r="E71">
        <v>109</v>
      </c>
      <c r="F71">
        <v>351</v>
      </c>
      <c r="G71" s="1" t="s">
        <v>94</v>
      </c>
    </row>
    <row r="72" spans="1:7" x14ac:dyDescent="0.2">
      <c r="A72" t="s">
        <v>103</v>
      </c>
      <c r="B72" t="s">
        <v>104</v>
      </c>
      <c r="C72" t="s">
        <v>6</v>
      </c>
      <c r="D72">
        <v>2017</v>
      </c>
      <c r="E72">
        <v>252</v>
      </c>
      <c r="F72">
        <v>1012</v>
      </c>
      <c r="G72" s="1" t="s">
        <v>102</v>
      </c>
    </row>
    <row r="73" spans="1:7" x14ac:dyDescent="0.2">
      <c r="A73" t="s">
        <v>151</v>
      </c>
      <c r="B73" t="s">
        <v>117</v>
      </c>
      <c r="C73" t="s">
        <v>23</v>
      </c>
      <c r="D73">
        <v>2017</v>
      </c>
      <c r="E73">
        <v>92</v>
      </c>
      <c r="F73">
        <v>214</v>
      </c>
      <c r="G73" s="1" t="s">
        <v>150</v>
      </c>
    </row>
    <row r="74" spans="1:7" x14ac:dyDescent="0.2">
      <c r="A74" t="s">
        <v>166</v>
      </c>
      <c r="B74" t="s">
        <v>28</v>
      </c>
      <c r="C74" t="s">
        <v>17</v>
      </c>
      <c r="D74">
        <v>2017</v>
      </c>
      <c r="E74">
        <v>221</v>
      </c>
      <c r="F74">
        <v>385</v>
      </c>
      <c r="G74" s="1" t="s">
        <v>165</v>
      </c>
    </row>
    <row r="75" spans="1:7" x14ac:dyDescent="0.2">
      <c r="A75" t="s">
        <v>208</v>
      </c>
      <c r="B75" t="s">
        <v>28</v>
      </c>
      <c r="C75" t="s">
        <v>17</v>
      </c>
      <c r="D75">
        <v>2017</v>
      </c>
      <c r="E75">
        <v>123</v>
      </c>
      <c r="F75">
        <v>168</v>
      </c>
      <c r="G75" s="1" t="s">
        <v>207</v>
      </c>
    </row>
    <row r="76" spans="1:7" x14ac:dyDescent="0.2">
      <c r="A76" t="s">
        <v>193</v>
      </c>
      <c r="B76" t="s">
        <v>16</v>
      </c>
      <c r="C76" t="s">
        <v>17</v>
      </c>
      <c r="D76">
        <v>2017</v>
      </c>
      <c r="E76">
        <v>47</v>
      </c>
      <c r="F76">
        <v>155</v>
      </c>
      <c r="G76" s="1" t="s">
        <v>192</v>
      </c>
    </row>
    <row r="77" spans="1:7" x14ac:dyDescent="0.2">
      <c r="A77" t="s">
        <v>27</v>
      </c>
      <c r="B77" t="s">
        <v>28</v>
      </c>
      <c r="C77" t="s">
        <v>17</v>
      </c>
      <c r="D77">
        <v>2018</v>
      </c>
      <c r="E77">
        <v>111</v>
      </c>
      <c r="F77">
        <v>242</v>
      </c>
      <c r="G77" s="1" t="s">
        <v>26</v>
      </c>
    </row>
    <row r="78" spans="1:7" x14ac:dyDescent="0.2">
      <c r="A78" t="s">
        <v>54</v>
      </c>
      <c r="B78" t="s">
        <v>16</v>
      </c>
      <c r="C78" t="s">
        <v>17</v>
      </c>
      <c r="D78">
        <v>2018</v>
      </c>
      <c r="E78">
        <v>12148</v>
      </c>
      <c r="F78">
        <v>44269</v>
      </c>
      <c r="G78" s="1" t="s">
        <v>53</v>
      </c>
    </row>
    <row r="79" spans="1:7" x14ac:dyDescent="0.2">
      <c r="A79" t="s">
        <v>203</v>
      </c>
      <c r="B79" t="s">
        <v>12</v>
      </c>
      <c r="C79" t="s">
        <v>13</v>
      </c>
      <c r="D79">
        <v>2018</v>
      </c>
      <c r="E79">
        <v>44</v>
      </c>
      <c r="F79">
        <v>127</v>
      </c>
      <c r="G79" s="1" t="s">
        <v>202</v>
      </c>
    </row>
    <row r="80" spans="1:7" x14ac:dyDescent="0.2">
      <c r="A80" t="s">
        <v>174</v>
      </c>
      <c r="B80" t="s">
        <v>22</v>
      </c>
      <c r="C80" t="s">
        <v>23</v>
      </c>
      <c r="D80">
        <v>2018</v>
      </c>
      <c r="E80">
        <v>128</v>
      </c>
      <c r="F80">
        <v>360</v>
      </c>
      <c r="G80" s="1" t="s">
        <v>173</v>
      </c>
    </row>
    <row r="81" spans="1:7" x14ac:dyDescent="0.2">
      <c r="A81" t="s">
        <v>21</v>
      </c>
      <c r="B81" t="s">
        <v>22</v>
      </c>
      <c r="C81" t="s">
        <v>23</v>
      </c>
      <c r="D81">
        <v>2019</v>
      </c>
      <c r="E81">
        <v>165</v>
      </c>
      <c r="F81">
        <v>401</v>
      </c>
      <c r="G81" s="1" t="s">
        <v>20</v>
      </c>
    </row>
    <row r="82" spans="1:7" x14ac:dyDescent="0.2">
      <c r="A82" t="s">
        <v>33</v>
      </c>
      <c r="B82" t="s">
        <v>16</v>
      </c>
      <c r="C82" t="s">
        <v>17</v>
      </c>
      <c r="D82">
        <v>2019</v>
      </c>
      <c r="E82">
        <v>45</v>
      </c>
      <c r="F82">
        <v>384</v>
      </c>
      <c r="G82" s="1" t="s">
        <v>32</v>
      </c>
    </row>
    <row r="83" spans="1:7" x14ac:dyDescent="0.2">
      <c r="A83" t="s">
        <v>40</v>
      </c>
      <c r="B83" t="s">
        <v>12</v>
      </c>
      <c r="C83" t="s">
        <v>13</v>
      </c>
      <c r="D83">
        <v>2019</v>
      </c>
      <c r="E83">
        <v>236</v>
      </c>
      <c r="F83">
        <v>300</v>
      </c>
      <c r="G83" s="1" t="s">
        <v>39</v>
      </c>
    </row>
    <row r="84" spans="1:7" x14ac:dyDescent="0.2">
      <c r="A84" t="s">
        <v>116</v>
      </c>
      <c r="B84" t="s">
        <v>117</v>
      </c>
      <c r="C84" t="s">
        <v>23</v>
      </c>
      <c r="D84">
        <v>2020</v>
      </c>
      <c r="E84">
        <v>59</v>
      </c>
      <c r="F84">
        <v>172</v>
      </c>
      <c r="G84" s="1" t="s">
        <v>115</v>
      </c>
    </row>
    <row r="85" spans="1:7" x14ac:dyDescent="0.2">
      <c r="A85" t="s">
        <v>140</v>
      </c>
      <c r="B85" t="s">
        <v>16</v>
      </c>
      <c r="C85" t="s">
        <v>17</v>
      </c>
      <c r="D85">
        <v>2020</v>
      </c>
      <c r="E85">
        <v>42</v>
      </c>
      <c r="F85">
        <v>158</v>
      </c>
      <c r="G85" s="1" t="s">
        <v>139</v>
      </c>
    </row>
    <row r="86" spans="1:7" x14ac:dyDescent="0.2">
      <c r="A86" t="s">
        <v>88</v>
      </c>
      <c r="B86" t="s">
        <v>31</v>
      </c>
      <c r="C86" t="s">
        <v>23</v>
      </c>
      <c r="D86">
        <v>2021</v>
      </c>
      <c r="E86">
        <v>182</v>
      </c>
      <c r="F86">
        <v>403</v>
      </c>
      <c r="G86" s="1" t="s">
        <v>87</v>
      </c>
    </row>
    <row r="87" spans="1:7" x14ac:dyDescent="0.2">
      <c r="A87" t="s">
        <v>56</v>
      </c>
      <c r="B87" t="s">
        <v>16</v>
      </c>
      <c r="C87" t="s">
        <v>17</v>
      </c>
      <c r="D87">
        <v>2023</v>
      </c>
      <c r="E87">
        <v>27</v>
      </c>
      <c r="F87">
        <v>104</v>
      </c>
      <c r="G87" s="1" t="s">
        <v>55</v>
      </c>
    </row>
  </sheetData>
  <sortState xmlns:xlrd2="http://schemas.microsoft.com/office/spreadsheetml/2017/richdata2" ref="A2:G87">
    <sortCondition ref="D2:D87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Rasambainarivo, Fidy</cp:lastModifiedBy>
  <dcterms:created xsi:type="dcterms:W3CDTF">2025-07-28T17:02:18Z</dcterms:created>
  <dcterms:modified xsi:type="dcterms:W3CDTF">2025-07-29T13:59:10Z</dcterms:modified>
</cp:coreProperties>
</file>