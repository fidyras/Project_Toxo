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/Users/extendo/Desktop/"/>
    </mc:Choice>
  </mc:AlternateContent>
  <xr:revisionPtr revIDLastSave="0" documentId="8_{D18C015B-FDA3-5549-9FE8-E3FE40514FB0}" xr6:coauthVersionLast="47" xr6:coauthVersionMax="47" xr10:uidLastSave="{00000000-0000-0000-0000-000000000000}"/>
  <bookViews>
    <workbookView xWindow="0" yWindow="0" windowWidth="28800" windowHeight="18000" xr2:uid="{CFDDB64D-94EE-5F4B-8C46-39ED41D662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6" i="1" l="1"/>
  <c r="H265" i="1"/>
  <c r="H179" i="1"/>
  <c r="H178" i="1"/>
  <c r="H136" i="1"/>
  <c r="H135" i="1"/>
  <c r="H134" i="1"/>
  <c r="G120" i="1"/>
  <c r="G121" i="1"/>
  <c r="G119" i="1"/>
  <c r="G113" i="1"/>
  <c r="G112" i="1"/>
  <c r="G111" i="1"/>
  <c r="G110" i="1"/>
  <c r="G109" i="1"/>
  <c r="G108" i="1"/>
  <c r="G107" i="1"/>
  <c r="G91" i="1"/>
  <c r="G90" i="1"/>
  <c r="G77" i="1"/>
  <c r="G76" i="1"/>
  <c r="G75" i="1"/>
  <c r="G74" i="1"/>
  <c r="H47" i="1"/>
  <c r="H24" i="1"/>
  <c r="H23" i="1"/>
  <c r="H22" i="1"/>
  <c r="H18" i="1"/>
  <c r="H17" i="1"/>
  <c r="H16" i="1"/>
  <c r="H15" i="1"/>
</calcChain>
</file>

<file path=xl/sharedStrings.xml><?xml version="1.0" encoding="utf-8"?>
<sst xmlns="http://schemas.openxmlformats.org/spreadsheetml/2006/main" count="823" uniqueCount="128">
  <si>
    <t>Reference (authors, date, journal)</t>
  </si>
  <si>
    <t>Year of data collection (Final Year of Data Collection)</t>
  </si>
  <si>
    <t>Location (country)</t>
  </si>
  <si>
    <t>Urban or Rural</t>
  </si>
  <si>
    <t>Lower bound of age</t>
  </si>
  <si>
    <t>Upper bound of age</t>
  </si>
  <si>
    <t>Number of people seropositive</t>
  </si>
  <si>
    <t>Number of people tested</t>
  </si>
  <si>
    <t>Hassan SA et al., 2023, Acta Tropica</t>
  </si>
  <si>
    <t>Somalia</t>
  </si>
  <si>
    <t>Urban</t>
  </si>
  <si>
    <t>Okojokwo O et al., 2023, Microbes and Infectious Diseases</t>
  </si>
  <si>
    <t>Nigeria</t>
  </si>
  <si>
    <t>Danbrum M et al., 2022, Plos One</t>
  </si>
  <si>
    <t>2008 - 2010</t>
  </si>
  <si>
    <t>Benin</t>
  </si>
  <si>
    <t>Rural</t>
  </si>
  <si>
    <t>N/A</t>
  </si>
  <si>
    <t>Lushina M et al., 2022, East African Health Research Journal</t>
  </si>
  <si>
    <t>Tanzania</t>
  </si>
  <si>
    <t>Laboudi M et al., 2021, Tropical Medicine and Health</t>
  </si>
  <si>
    <t>2014 - 2018</t>
  </si>
  <si>
    <t>Morocco</t>
  </si>
  <si>
    <t>Adunga B et al., 2021, Infection and Drug Resistanc</t>
  </si>
  <si>
    <t>Ethiopia</t>
  </si>
  <si>
    <t>Singh B et al., 2021, Infectious Diseases in Obstetrics and Gynecology</t>
  </si>
  <si>
    <t>2017 - 2018</t>
  </si>
  <si>
    <t>Ghana</t>
  </si>
  <si>
    <t xml:space="preserve">Hoummadi L et al., 2020, African health sciences </t>
  </si>
  <si>
    <t>2014 -2016</t>
  </si>
  <si>
    <t>Khames M et al., 2020, Annals of Parasitology</t>
  </si>
  <si>
    <t>Algeria</t>
  </si>
  <si>
    <t>Akubuilo AS et al., 2020, Open Journal of Bioscience Research</t>
  </si>
  <si>
    <t>Van der Colf BE et al., 2020, Southern African Journal of Infectious Diseases</t>
  </si>
  <si>
    <t>Namibia</t>
  </si>
  <si>
    <t>Zakari M et al., 2020, Malawi Medical Journa</t>
  </si>
  <si>
    <t>Mulugeta et al., 2020, Infectious Diseases: Research and Treatment 13</t>
  </si>
  <si>
    <t>2015 - 2016</t>
  </si>
  <si>
    <t>Tecle AS et al., 2020, International Journal of Medical Parisitology &amp; Epidemiology Sciences</t>
  </si>
  <si>
    <t>Eritrea</t>
  </si>
  <si>
    <t>Nguemaïm NF et al., 2020, African Journal of Clinical and Experimental Microbiology</t>
  </si>
  <si>
    <t>Cameroon</t>
  </si>
  <si>
    <t>Abdelbaset AE et al., 2020, eterinary World</t>
  </si>
  <si>
    <t>Egypt</t>
  </si>
  <si>
    <t>Fenta., 2019, BMC infectious diseases</t>
  </si>
  <si>
    <t>2016 - 2017</t>
  </si>
  <si>
    <t>Teweldmedihin et al., 2019, BMC infectious diseases</t>
  </si>
  <si>
    <t>Mirambo MM et al., 2019, African Health Sciences</t>
  </si>
  <si>
    <t>Todjom FG et al. 2019, African Journal of Clinical and Experimental Microbiology</t>
  </si>
  <si>
    <t xml:space="preserve"> N/A</t>
  </si>
  <si>
    <t>Mabeku LB et al., 2018,  Journal of Scientific Research and Reports</t>
  </si>
  <si>
    <t>Jula et al., 2018, Revista Española de Quimioterapia</t>
  </si>
  <si>
    <t>Adeniyi OT et al., 2018, Journal of Infectious Diseases and Immunity</t>
  </si>
  <si>
    <t>Hafez Hassanain et al., 2018, Pakistan Journal of Biological Sciences: PJBS</t>
  </si>
  <si>
    <t>Dairo MD et al., 2018, African Journal of Biomedical Research</t>
  </si>
  <si>
    <t>Mohammed WM et al., 2018</t>
  </si>
  <si>
    <t>2015 - 2017</t>
  </si>
  <si>
    <t>Sudan</t>
  </si>
  <si>
    <t xml:space="preserve">There are values but they are idnetifying two different antibodies and do not account for if the two different antibodies are present in the same individuals not giving us a concrete answer for the number of seropositive individuals. </t>
  </si>
  <si>
    <t xml:space="preserve">N/A </t>
  </si>
  <si>
    <t>Paul et al., 2018, Tropical medicine and health</t>
  </si>
  <si>
    <t>Tlamcani Z et al., 2017, Acta Medica International</t>
  </si>
  <si>
    <t>2010 - 2015</t>
  </si>
  <si>
    <t>Pegha Moukandija et al., 2017, BMC Pregnancy and Childbirth</t>
  </si>
  <si>
    <t>2007 -2010</t>
  </si>
  <si>
    <t>Gabon</t>
  </si>
  <si>
    <t>El-Shqanqery HE et al., 2017, Egyptian Society of Parasitology</t>
  </si>
  <si>
    <t>Frimpong et al., 2017, BMC infectious diseases</t>
  </si>
  <si>
    <t>Zambia</t>
  </si>
  <si>
    <t>Ballah F et al., 2017, Asian Journal of Medicine and Health</t>
  </si>
  <si>
    <t>Murebwayire E et al., 2017, Tanzania Journal of Health Research</t>
  </si>
  <si>
    <t>Rwanda</t>
  </si>
  <si>
    <t xml:space="preserve">Saajan AM et al., 2017, The East African Health Research Journal </t>
  </si>
  <si>
    <t>2013 - 2014</t>
  </si>
  <si>
    <t>Bamba et al., 2017, BMC infectious diseases</t>
  </si>
  <si>
    <t>2013 -2014</t>
  </si>
  <si>
    <t>Burkina Faso</t>
  </si>
  <si>
    <t>Negussie A et al., 2017, Int J Trop Dis Health</t>
  </si>
  <si>
    <t>Yohanes T et al., 2017, Transl Biomed</t>
  </si>
  <si>
    <t xml:space="preserve">Negero et al., 2017, International Journal of Infectious Diseases </t>
  </si>
  <si>
    <t>Völker et al., 2017, BMC pregnancy and childbirth</t>
  </si>
  <si>
    <t>Oboro IL et al., 2016, Nigerian Health Journal</t>
  </si>
  <si>
    <t>Abamecha et al., 2016, BMC infectious diseases</t>
  </si>
  <si>
    <t>2014 - 2015</t>
  </si>
  <si>
    <t>Ayi I et al., 2016, Tropical medicine and health</t>
  </si>
  <si>
    <t>Kwofie KD et al., 2016, Maternal and child health journal</t>
  </si>
  <si>
    <t>Awoke K et al., 2015, Asian Pacific journal of tropical medicine</t>
  </si>
  <si>
    <t>Nasir IA et al., 2015, Journal of Medical Sciences</t>
  </si>
  <si>
    <t>Gelaye et al., 2015, International Journal of Infectious Diseases</t>
  </si>
  <si>
    <t>2010 - 2011</t>
  </si>
  <si>
    <t>Agmas et al., 2015, BMC research notes</t>
  </si>
  <si>
    <t>Elichilia R Shao et al., 2015</t>
  </si>
  <si>
    <t>Doudou et al., 2014, Asian Pacific journal of tropical biomedicine</t>
  </si>
  <si>
    <t>Congo</t>
  </si>
  <si>
    <t>Endris M et al., 2014, Iranian journal of parasitology</t>
  </si>
  <si>
    <t>Bamba S et al., 2014, Pakistan Journal of Biological Sciences</t>
  </si>
  <si>
    <t>Abdel-Raouff M et al., 2014</t>
  </si>
  <si>
    <t>Oyinloye SO et al., 2014, African Journal of Clinical and Experimental Microbiology</t>
  </si>
  <si>
    <t>Mwambe et al., 2013, Parasites &amp; vectors</t>
  </si>
  <si>
    <t>2012 - 2013</t>
  </si>
  <si>
    <t>El Deeb et al., 2012, Acta Tropica</t>
  </si>
  <si>
    <t>Zemene et al., 2012, BMC infectious diseases</t>
  </si>
  <si>
    <t>Linguissi et al., 2012, Asian Pacific journal of tropical medicine</t>
  </si>
  <si>
    <t>2006 - 2009</t>
  </si>
  <si>
    <t xml:space="preserve">Satti, A.B et al., 2011, Sudan Medical Laboratory Journal </t>
  </si>
  <si>
    <t>2006 - 2007</t>
  </si>
  <si>
    <t>Njunda AL et al., 2011, International Journal of Health Research</t>
  </si>
  <si>
    <t>Sitoe et al., 2010, Revista do Instituto de Medicina Tropical de São Paulo</t>
  </si>
  <si>
    <t>Mozambique</t>
  </si>
  <si>
    <t>De Paschale et al., 2014, Tropical Medicine and International Health</t>
  </si>
  <si>
    <t>Koffi et al., 2015, International Journal of Tropical Disease and Health</t>
  </si>
  <si>
    <t>Ivory Coast</t>
  </si>
  <si>
    <t>Adou-Bryn et al., 2004, Bulletin de la Société de pathologie exotique</t>
  </si>
  <si>
    <t>2000 - 2001</t>
  </si>
  <si>
    <t>Simpore et al., 2006, Journal of Medical Virology</t>
  </si>
  <si>
    <t>2004 - 2005</t>
  </si>
  <si>
    <t>Ayi et al., 2009, Ghana Medical Journal</t>
  </si>
  <si>
    <t>Olusi et al., 1996, Scandanavian Journal of Infectious Diseases</t>
  </si>
  <si>
    <t>Rodier et al., 1995, Acta Tropica</t>
  </si>
  <si>
    <t>Yusuf et al., 2006, Journal of Medicine and Medical Sciences</t>
  </si>
  <si>
    <t>Yusuf et al., 2017, Borno Med Journal</t>
  </si>
  <si>
    <t>Ibrahim et al., 2017, UJMR</t>
  </si>
  <si>
    <t>Woken et al,. 2018, Nigerian Journal of Parisitology</t>
  </si>
  <si>
    <t>Njunda et al., 2011, J Public Health Africa</t>
  </si>
  <si>
    <t>Abongwa et al., 2019, Journal of Advances in Microbiology</t>
  </si>
  <si>
    <t>Alayande et al., 2012, African Journal of Microbiology Research</t>
  </si>
  <si>
    <t>Osunkalu et al., 2011, HIV/AIDS - Research and Palliative Care</t>
  </si>
  <si>
    <t xml:space="preserve">Assob et al., 2011, AFRICAN JOURNAL OF CLINICAL AND EXPERIMENTAL MICROBIOLOGY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</si>
</sst>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3D24-520B-B04D-B0EC-94E746C0A159}">
  <dimension ref="A1:I283"/>
  <sheetViews>
    <sheetView tabSelected="1" topLeftCell="A249" zoomScale="93" workbookViewId="0">
      <selection activeCell="A284" sqref="A284"/>
    </sheetView>
  </sheetViews>
  <sheetFormatPr defaultColWidth="11" defaultRowHeight="15.95"/>
  <cols>
    <col min="1" max="1" width="29.625" customWidth="1"/>
    <col min="2" max="2" width="22" customWidth="1"/>
    <col min="3" max="3" width="16" customWidth="1"/>
    <col min="4" max="4" width="13.625" customWidth="1"/>
    <col min="5" max="5" width="18.125" customWidth="1"/>
    <col min="6" max="6" width="18.625" customWidth="1"/>
    <col min="7" max="7" width="26" customWidth="1"/>
    <col min="8" max="8" width="20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2021</v>
      </c>
      <c r="C2" t="s">
        <v>9</v>
      </c>
      <c r="D2" t="s">
        <v>10</v>
      </c>
      <c r="E2" s="1">
        <v>16</v>
      </c>
      <c r="F2" s="1">
        <v>25</v>
      </c>
      <c r="G2" s="1">
        <v>88</v>
      </c>
      <c r="H2" s="1">
        <v>202</v>
      </c>
    </row>
    <row r="3" spans="1:8">
      <c r="A3" t="s">
        <v>8</v>
      </c>
      <c r="B3">
        <v>2021</v>
      </c>
      <c r="C3" t="s">
        <v>9</v>
      </c>
      <c r="D3" t="s">
        <v>10</v>
      </c>
      <c r="E3" s="1">
        <v>26</v>
      </c>
      <c r="F3" s="1">
        <v>35</v>
      </c>
      <c r="G3" s="1">
        <v>85</v>
      </c>
      <c r="H3" s="1">
        <v>180</v>
      </c>
    </row>
    <row r="4" spans="1:8">
      <c r="A4" t="s">
        <v>8</v>
      </c>
      <c r="B4">
        <v>2021</v>
      </c>
      <c r="C4" t="s">
        <v>9</v>
      </c>
      <c r="D4" t="s">
        <v>10</v>
      </c>
      <c r="E4">
        <v>35</v>
      </c>
      <c r="F4">
        <v>45</v>
      </c>
      <c r="G4">
        <v>9</v>
      </c>
      <c r="H4">
        <v>21</v>
      </c>
    </row>
    <row r="5" spans="1:8">
      <c r="A5" t="s">
        <v>11</v>
      </c>
      <c r="B5">
        <v>2020</v>
      </c>
      <c r="C5" t="s">
        <v>12</v>
      </c>
      <c r="E5" s="1">
        <v>15</v>
      </c>
      <c r="F5" s="1">
        <v>30</v>
      </c>
      <c r="G5" s="1">
        <v>30</v>
      </c>
      <c r="H5" s="1">
        <v>112</v>
      </c>
    </row>
    <row r="6" spans="1:8">
      <c r="A6" t="s">
        <v>11</v>
      </c>
      <c r="B6">
        <v>2020</v>
      </c>
      <c r="C6" t="s">
        <v>12</v>
      </c>
      <c r="E6" s="1">
        <v>31</v>
      </c>
      <c r="F6" s="1">
        <v>40</v>
      </c>
      <c r="G6" s="1">
        <v>12</v>
      </c>
      <c r="H6" s="1">
        <v>44</v>
      </c>
    </row>
    <row r="7" spans="1:8">
      <c r="A7" t="s">
        <v>11</v>
      </c>
      <c r="B7">
        <v>2020</v>
      </c>
      <c r="C7" t="s">
        <v>12</v>
      </c>
      <c r="E7">
        <v>41</v>
      </c>
      <c r="F7">
        <v>50</v>
      </c>
      <c r="G7">
        <v>0</v>
      </c>
      <c r="H7">
        <v>2</v>
      </c>
    </row>
    <row r="8" spans="1:8">
      <c r="A8" t="s">
        <v>13</v>
      </c>
      <c r="B8" t="s">
        <v>14</v>
      </c>
      <c r="C8" t="s">
        <v>15</v>
      </c>
      <c r="D8" t="s">
        <v>16</v>
      </c>
      <c r="E8" s="1">
        <v>15</v>
      </c>
      <c r="F8" s="1">
        <v>22</v>
      </c>
      <c r="G8" t="s">
        <v>17</v>
      </c>
      <c r="H8" t="s">
        <v>17</v>
      </c>
    </row>
    <row r="9" spans="1:8">
      <c r="A9" t="s">
        <v>13</v>
      </c>
      <c r="B9" t="s">
        <v>14</v>
      </c>
      <c r="C9" t="s">
        <v>15</v>
      </c>
      <c r="D9" t="s">
        <v>16</v>
      </c>
      <c r="E9" s="1">
        <v>23</v>
      </c>
      <c r="F9" s="1">
        <v>29</v>
      </c>
      <c r="G9" t="s">
        <v>17</v>
      </c>
      <c r="H9" t="s">
        <v>17</v>
      </c>
    </row>
    <row r="10" spans="1:8">
      <c r="A10" t="s">
        <v>13</v>
      </c>
      <c r="B10" t="s">
        <v>14</v>
      </c>
      <c r="C10" t="s">
        <v>15</v>
      </c>
      <c r="D10" t="s">
        <v>16</v>
      </c>
      <c r="E10">
        <v>30</v>
      </c>
      <c r="F10">
        <v>35</v>
      </c>
      <c r="G10" t="s">
        <v>17</v>
      </c>
      <c r="H10" t="s">
        <v>17</v>
      </c>
    </row>
    <row r="11" spans="1:8">
      <c r="A11" t="s">
        <v>18</v>
      </c>
      <c r="B11">
        <v>2020</v>
      </c>
      <c r="C11" t="s">
        <v>19</v>
      </c>
      <c r="D11" t="s">
        <v>10</v>
      </c>
      <c r="E11" t="s">
        <v>17</v>
      </c>
      <c r="F11" s="1">
        <v>27</v>
      </c>
      <c r="G11">
        <v>45</v>
      </c>
      <c r="H11">
        <v>211</v>
      </c>
    </row>
    <row r="12" spans="1:8">
      <c r="A12" t="s">
        <v>18</v>
      </c>
      <c r="B12">
        <v>2020</v>
      </c>
      <c r="C12" t="s">
        <v>19</v>
      </c>
      <c r="D12" t="s">
        <v>10</v>
      </c>
      <c r="E12">
        <v>28</v>
      </c>
      <c r="F12" s="1">
        <v>33</v>
      </c>
      <c r="G12">
        <v>37</v>
      </c>
      <c r="H12">
        <v>119</v>
      </c>
    </row>
    <row r="13" spans="1:8">
      <c r="A13" t="s">
        <v>18</v>
      </c>
      <c r="B13">
        <v>2020</v>
      </c>
      <c r="C13" t="s">
        <v>19</v>
      </c>
      <c r="D13" t="s">
        <v>10</v>
      </c>
      <c r="E13">
        <v>34</v>
      </c>
      <c r="F13" s="1">
        <v>39</v>
      </c>
      <c r="G13">
        <v>20</v>
      </c>
      <c r="H13">
        <v>44</v>
      </c>
    </row>
    <row r="14" spans="1:8">
      <c r="A14" t="s">
        <v>18</v>
      </c>
      <c r="B14">
        <v>2020</v>
      </c>
      <c r="C14" t="s">
        <v>19</v>
      </c>
      <c r="D14" t="s">
        <v>10</v>
      </c>
      <c r="E14">
        <v>40</v>
      </c>
      <c r="F14">
        <v>45</v>
      </c>
      <c r="G14">
        <v>2</v>
      </c>
      <c r="H14">
        <v>9</v>
      </c>
    </row>
    <row r="15" spans="1:8">
      <c r="A15" t="s">
        <v>20</v>
      </c>
      <c r="B15" t="s">
        <v>21</v>
      </c>
      <c r="C15" t="s">
        <v>22</v>
      </c>
      <c r="D15" t="s">
        <v>10</v>
      </c>
      <c r="E15">
        <v>16</v>
      </c>
      <c r="F15" s="1">
        <v>25</v>
      </c>
      <c r="G15">
        <v>66</v>
      </c>
      <c r="H15">
        <f>123+66</f>
        <v>189</v>
      </c>
    </row>
    <row r="16" spans="1:8">
      <c r="A16" t="s">
        <v>20</v>
      </c>
      <c r="B16" t="s">
        <v>21</v>
      </c>
      <c r="C16" t="s">
        <v>22</v>
      </c>
      <c r="D16" t="s">
        <v>10</v>
      </c>
      <c r="E16">
        <v>26</v>
      </c>
      <c r="F16" s="1">
        <v>30</v>
      </c>
      <c r="G16">
        <v>67</v>
      </c>
      <c r="H16">
        <f>67+77</f>
        <v>144</v>
      </c>
    </row>
    <row r="17" spans="1:8">
      <c r="A17" t="s">
        <v>20</v>
      </c>
      <c r="B17" t="s">
        <v>21</v>
      </c>
      <c r="C17" t="s">
        <v>22</v>
      </c>
      <c r="D17" t="s">
        <v>10</v>
      </c>
      <c r="E17">
        <v>31</v>
      </c>
      <c r="F17" s="1">
        <v>35</v>
      </c>
      <c r="G17">
        <v>70</v>
      </c>
      <c r="H17">
        <f>70+68</f>
        <v>138</v>
      </c>
    </row>
    <row r="18" spans="1:8">
      <c r="A18" t="s">
        <v>20</v>
      </c>
      <c r="B18" t="s">
        <v>21</v>
      </c>
      <c r="C18" t="s">
        <v>22</v>
      </c>
      <c r="D18" t="s">
        <v>10</v>
      </c>
      <c r="E18" s="3">
        <v>36</v>
      </c>
      <c r="F18" s="3">
        <v>46</v>
      </c>
      <c r="G18">
        <v>45</v>
      </c>
      <c r="H18">
        <f>45+60</f>
        <v>105</v>
      </c>
    </row>
    <row r="19" spans="1:8">
      <c r="A19" t="s">
        <v>23</v>
      </c>
      <c r="B19">
        <v>2019</v>
      </c>
      <c r="C19" t="s">
        <v>24</v>
      </c>
      <c r="E19" s="3">
        <v>18</v>
      </c>
      <c r="F19" s="3">
        <v>24</v>
      </c>
      <c r="G19">
        <v>84</v>
      </c>
      <c r="H19">
        <v>120</v>
      </c>
    </row>
    <row r="20" spans="1:8">
      <c r="A20" t="s">
        <v>23</v>
      </c>
      <c r="B20">
        <v>2019</v>
      </c>
      <c r="C20" t="s">
        <v>24</v>
      </c>
      <c r="E20" s="3">
        <v>25</v>
      </c>
      <c r="F20" s="3">
        <v>30</v>
      </c>
      <c r="G20">
        <v>60</v>
      </c>
      <c r="H20">
        <v>213</v>
      </c>
    </row>
    <row r="21" spans="1:8">
      <c r="A21" t="s">
        <v>23</v>
      </c>
      <c r="B21">
        <v>2019</v>
      </c>
      <c r="C21" t="s">
        <v>24</v>
      </c>
      <c r="E21">
        <v>31</v>
      </c>
      <c r="F21">
        <v>46</v>
      </c>
      <c r="G21">
        <v>21</v>
      </c>
      <c r="H21">
        <v>68</v>
      </c>
    </row>
    <row r="22" spans="1:8">
      <c r="A22" t="s">
        <v>25</v>
      </c>
      <c r="B22" t="s">
        <v>26</v>
      </c>
      <c r="C22" t="s">
        <v>27</v>
      </c>
      <c r="D22" t="s">
        <v>10</v>
      </c>
      <c r="E22" s="3">
        <v>20</v>
      </c>
      <c r="F22" s="3">
        <v>29</v>
      </c>
      <c r="G22">
        <v>109</v>
      </c>
      <c r="H22">
        <f>73+109</f>
        <v>182</v>
      </c>
    </row>
    <row r="23" spans="1:8">
      <c r="A23" t="s">
        <v>25</v>
      </c>
      <c r="B23" t="s">
        <v>26</v>
      </c>
      <c r="C23" t="s">
        <v>27</v>
      </c>
      <c r="D23" t="s">
        <v>10</v>
      </c>
      <c r="E23" s="3">
        <v>30</v>
      </c>
      <c r="F23" s="3">
        <v>39</v>
      </c>
      <c r="G23">
        <v>112</v>
      </c>
      <c r="H23">
        <f>112+91</f>
        <v>203</v>
      </c>
    </row>
    <row r="24" spans="1:8">
      <c r="A24" t="s">
        <v>25</v>
      </c>
      <c r="B24" t="s">
        <v>26</v>
      </c>
      <c r="C24" t="s">
        <v>27</v>
      </c>
      <c r="D24" t="s">
        <v>10</v>
      </c>
      <c r="E24">
        <v>40</v>
      </c>
      <c r="F24" t="s">
        <v>17</v>
      </c>
      <c r="G24">
        <v>8</v>
      </c>
      <c r="H24">
        <f>8+7</f>
        <v>15</v>
      </c>
    </row>
    <row r="25" spans="1:8">
      <c r="A25" t="s">
        <v>28</v>
      </c>
      <c r="B25" t="s">
        <v>29</v>
      </c>
      <c r="C25" t="s">
        <v>22</v>
      </c>
      <c r="D25" t="s">
        <v>10</v>
      </c>
      <c r="E25" s="3">
        <v>15</v>
      </c>
      <c r="F25" s="3">
        <v>19</v>
      </c>
      <c r="G25">
        <v>65</v>
      </c>
      <c r="H25">
        <v>438</v>
      </c>
    </row>
    <row r="26" spans="1:8">
      <c r="A26" t="s">
        <v>28</v>
      </c>
      <c r="B26" t="s">
        <v>29</v>
      </c>
      <c r="C26" t="s">
        <v>22</v>
      </c>
      <c r="D26" t="s">
        <v>10</v>
      </c>
      <c r="E26" s="3">
        <v>20</v>
      </c>
      <c r="F26" s="3">
        <v>25</v>
      </c>
      <c r="G26">
        <v>256</v>
      </c>
      <c r="H26">
        <v>1480</v>
      </c>
    </row>
    <row r="27" spans="1:8">
      <c r="A27" t="s">
        <v>28</v>
      </c>
      <c r="B27" t="s">
        <v>29</v>
      </c>
      <c r="C27" t="s">
        <v>22</v>
      </c>
      <c r="D27" t="s">
        <v>10</v>
      </c>
      <c r="E27" s="3">
        <v>26</v>
      </c>
      <c r="F27" s="3">
        <v>30</v>
      </c>
      <c r="G27">
        <v>475</v>
      </c>
      <c r="H27">
        <v>1854</v>
      </c>
    </row>
    <row r="28" spans="1:8">
      <c r="A28" t="s">
        <v>28</v>
      </c>
      <c r="B28" t="s">
        <v>29</v>
      </c>
      <c r="C28" t="s">
        <v>22</v>
      </c>
      <c r="D28" t="s">
        <v>10</v>
      </c>
      <c r="E28" s="3">
        <v>30</v>
      </c>
      <c r="F28" s="3">
        <v>35</v>
      </c>
      <c r="G28">
        <v>394</v>
      </c>
      <c r="H28">
        <v>699</v>
      </c>
    </row>
    <row r="29" spans="1:8">
      <c r="A29" t="s">
        <v>28</v>
      </c>
      <c r="B29" t="s">
        <v>29</v>
      </c>
      <c r="C29" t="s">
        <v>22</v>
      </c>
      <c r="D29" t="s">
        <v>10</v>
      </c>
      <c r="E29" s="3">
        <v>36</v>
      </c>
      <c r="F29" s="3">
        <v>39</v>
      </c>
      <c r="G29">
        <v>220</v>
      </c>
      <c r="H29">
        <v>436</v>
      </c>
    </row>
    <row r="30" spans="1:8">
      <c r="A30" t="s">
        <v>28</v>
      </c>
      <c r="B30" t="s">
        <v>29</v>
      </c>
      <c r="C30" t="s">
        <v>22</v>
      </c>
      <c r="D30" t="s">
        <v>10</v>
      </c>
      <c r="E30">
        <v>40</v>
      </c>
      <c r="F30">
        <v>52</v>
      </c>
      <c r="G30">
        <v>80</v>
      </c>
      <c r="H30">
        <v>171</v>
      </c>
    </row>
    <row r="31" spans="1:8">
      <c r="A31" t="s">
        <v>30</v>
      </c>
      <c r="B31">
        <v>2017</v>
      </c>
      <c r="C31" t="s">
        <v>31</v>
      </c>
      <c r="D31" t="s">
        <v>16</v>
      </c>
      <c r="E31" s="3">
        <v>15</v>
      </c>
      <c r="F31" s="3">
        <v>19</v>
      </c>
      <c r="G31">
        <v>20</v>
      </c>
      <c r="H31">
        <v>45</v>
      </c>
    </row>
    <row r="32" spans="1:8">
      <c r="A32" t="s">
        <v>30</v>
      </c>
      <c r="B32">
        <v>2017</v>
      </c>
      <c r="C32" t="s">
        <v>31</v>
      </c>
      <c r="D32" t="s">
        <v>16</v>
      </c>
      <c r="E32" s="3">
        <v>20</v>
      </c>
      <c r="F32" s="3">
        <v>24</v>
      </c>
      <c r="G32">
        <v>96</v>
      </c>
      <c r="H32">
        <v>243</v>
      </c>
    </row>
    <row r="33" spans="1:8">
      <c r="A33" t="s">
        <v>30</v>
      </c>
      <c r="B33">
        <v>2017</v>
      </c>
      <c r="C33" t="s">
        <v>31</v>
      </c>
      <c r="D33" t="s">
        <v>16</v>
      </c>
      <c r="E33" s="3">
        <v>25</v>
      </c>
      <c r="F33" s="3">
        <v>29</v>
      </c>
      <c r="G33">
        <v>85</v>
      </c>
      <c r="H33">
        <v>336</v>
      </c>
    </row>
    <row r="34" spans="1:8">
      <c r="A34" t="s">
        <v>30</v>
      </c>
      <c r="B34">
        <v>2017</v>
      </c>
      <c r="C34" t="s">
        <v>31</v>
      </c>
      <c r="D34" t="s">
        <v>16</v>
      </c>
      <c r="E34" s="3">
        <v>30</v>
      </c>
      <c r="F34" s="3">
        <v>34</v>
      </c>
      <c r="G34">
        <v>35</v>
      </c>
      <c r="H34">
        <v>239</v>
      </c>
    </row>
    <row r="35" spans="1:8">
      <c r="A35" t="s">
        <v>30</v>
      </c>
      <c r="B35">
        <v>2017</v>
      </c>
      <c r="C35" t="s">
        <v>31</v>
      </c>
      <c r="D35" t="s">
        <v>16</v>
      </c>
      <c r="E35" s="3">
        <v>35</v>
      </c>
      <c r="F35" s="3">
        <v>39</v>
      </c>
      <c r="G35">
        <v>13</v>
      </c>
      <c r="H35">
        <v>120</v>
      </c>
    </row>
    <row r="36" spans="1:8">
      <c r="A36" t="s">
        <v>30</v>
      </c>
      <c r="B36">
        <v>2017</v>
      </c>
      <c r="C36" t="s">
        <v>31</v>
      </c>
      <c r="D36" t="s">
        <v>16</v>
      </c>
      <c r="E36">
        <v>40</v>
      </c>
      <c r="F36">
        <v>45</v>
      </c>
      <c r="G36">
        <v>3</v>
      </c>
      <c r="H36">
        <v>29</v>
      </c>
    </row>
    <row r="37" spans="1:8">
      <c r="A37" t="s">
        <v>32</v>
      </c>
      <c r="C37" t="s">
        <v>12</v>
      </c>
      <c r="E37" s="3">
        <v>16</v>
      </c>
      <c r="F37" s="3">
        <v>24</v>
      </c>
      <c r="G37">
        <v>13</v>
      </c>
      <c r="H37">
        <v>115</v>
      </c>
    </row>
    <row r="38" spans="1:8">
      <c r="A38" t="s">
        <v>32</v>
      </c>
      <c r="C38" t="s">
        <v>12</v>
      </c>
      <c r="E38" s="3">
        <v>25</v>
      </c>
      <c r="F38" s="3">
        <v>35</v>
      </c>
      <c r="G38">
        <v>25</v>
      </c>
      <c r="H38">
        <v>204</v>
      </c>
    </row>
    <row r="39" spans="1:8">
      <c r="A39" t="s">
        <v>32</v>
      </c>
      <c r="C39" t="s">
        <v>12</v>
      </c>
      <c r="E39" s="3">
        <v>36</v>
      </c>
      <c r="F39" s="3">
        <v>45</v>
      </c>
      <c r="G39">
        <v>7</v>
      </c>
      <c r="H39">
        <v>65</v>
      </c>
    </row>
    <row r="40" spans="1:8">
      <c r="A40" t="s">
        <v>32</v>
      </c>
      <c r="C40" t="s">
        <v>12</v>
      </c>
      <c r="E40">
        <v>46</v>
      </c>
      <c r="F40" t="s">
        <v>17</v>
      </c>
      <c r="G40">
        <v>0</v>
      </c>
      <c r="H40">
        <v>0</v>
      </c>
    </row>
    <row r="41" spans="1:8">
      <c r="A41" t="s">
        <v>33</v>
      </c>
      <c r="B41">
        <v>2016</v>
      </c>
      <c r="C41" t="s">
        <v>34</v>
      </c>
      <c r="D41" t="s">
        <v>10</v>
      </c>
      <c r="E41" s="3">
        <v>15</v>
      </c>
      <c r="F41" s="3">
        <v>20</v>
      </c>
      <c r="G41">
        <v>0</v>
      </c>
      <c r="H41">
        <v>38</v>
      </c>
    </row>
    <row r="42" spans="1:8">
      <c r="A42" t="s">
        <v>33</v>
      </c>
      <c r="B42">
        <v>2016</v>
      </c>
      <c r="C42" t="s">
        <v>34</v>
      </c>
      <c r="D42" t="s">
        <v>10</v>
      </c>
      <c r="E42" s="3">
        <v>21</v>
      </c>
      <c r="F42" s="3">
        <v>25</v>
      </c>
      <c r="G42">
        <v>3</v>
      </c>
      <c r="H42">
        <v>108</v>
      </c>
    </row>
    <row r="43" spans="1:8">
      <c r="A43" t="s">
        <v>33</v>
      </c>
      <c r="B43">
        <v>2016</v>
      </c>
      <c r="C43" t="s">
        <v>34</v>
      </c>
      <c r="D43" t="s">
        <v>10</v>
      </c>
      <c r="E43" s="3">
        <v>26</v>
      </c>
      <c r="F43" s="3">
        <v>30</v>
      </c>
      <c r="G43">
        <v>5</v>
      </c>
      <c r="H43">
        <v>96</v>
      </c>
    </row>
    <row r="44" spans="1:8">
      <c r="A44" t="s">
        <v>33</v>
      </c>
      <c r="B44">
        <v>2016</v>
      </c>
      <c r="C44" t="s">
        <v>34</v>
      </c>
      <c r="D44" t="s">
        <v>10</v>
      </c>
      <c r="E44" s="3">
        <v>31</v>
      </c>
      <c r="F44" s="3">
        <v>35</v>
      </c>
      <c r="G44">
        <v>0</v>
      </c>
      <c r="H44">
        <v>59</v>
      </c>
    </row>
    <row r="45" spans="1:8">
      <c r="A45" t="s">
        <v>33</v>
      </c>
      <c r="B45">
        <v>2016</v>
      </c>
      <c r="C45" t="s">
        <v>34</v>
      </c>
      <c r="D45" t="s">
        <v>10</v>
      </c>
      <c r="E45">
        <v>36</v>
      </c>
      <c r="F45">
        <v>47</v>
      </c>
      <c r="G45">
        <v>1</v>
      </c>
      <c r="H45">
        <v>43</v>
      </c>
    </row>
    <row r="46" spans="1:8">
      <c r="A46" t="s">
        <v>35</v>
      </c>
      <c r="B46" t="s">
        <v>26</v>
      </c>
      <c r="C46" t="s">
        <v>12</v>
      </c>
      <c r="E46">
        <v>15</v>
      </c>
      <c r="F46" s="3">
        <v>19</v>
      </c>
      <c r="G46">
        <v>0</v>
      </c>
      <c r="H46">
        <v>0</v>
      </c>
    </row>
    <row r="47" spans="1:8">
      <c r="A47" t="s">
        <v>35</v>
      </c>
      <c r="B47" t="s">
        <v>26</v>
      </c>
      <c r="C47" t="s">
        <v>12</v>
      </c>
      <c r="E47" s="3">
        <v>20</v>
      </c>
      <c r="F47" s="3">
        <v>39</v>
      </c>
      <c r="G47">
        <v>45</v>
      </c>
      <c r="H47">
        <f>G47+98</f>
        <v>143</v>
      </c>
    </row>
    <row r="48" spans="1:8">
      <c r="A48" t="s">
        <v>35</v>
      </c>
      <c r="B48" t="s">
        <v>26</v>
      </c>
      <c r="C48" t="s">
        <v>12</v>
      </c>
      <c r="E48">
        <v>40</v>
      </c>
      <c r="F48">
        <v>49</v>
      </c>
      <c r="G48">
        <v>2</v>
      </c>
      <c r="H48">
        <v>12</v>
      </c>
    </row>
    <row r="49" spans="1:8">
      <c r="A49" t="s">
        <v>36</v>
      </c>
      <c r="B49" t="s">
        <v>37</v>
      </c>
      <c r="C49" t="s">
        <v>24</v>
      </c>
      <c r="E49">
        <v>15</v>
      </c>
      <c r="F49" s="3">
        <v>20</v>
      </c>
      <c r="G49">
        <v>15</v>
      </c>
      <c r="H49">
        <v>24</v>
      </c>
    </row>
    <row r="50" spans="1:8">
      <c r="A50" t="s">
        <v>36</v>
      </c>
      <c r="B50" t="s">
        <v>37</v>
      </c>
      <c r="C50" t="s">
        <v>24</v>
      </c>
      <c r="E50">
        <v>21</v>
      </c>
      <c r="F50" s="3">
        <v>25</v>
      </c>
      <c r="G50">
        <v>71</v>
      </c>
      <c r="H50">
        <v>98</v>
      </c>
    </row>
    <row r="51" spans="1:8">
      <c r="A51" t="s">
        <v>36</v>
      </c>
      <c r="B51" t="s">
        <v>37</v>
      </c>
      <c r="C51" t="s">
        <v>24</v>
      </c>
      <c r="E51">
        <v>26</v>
      </c>
      <c r="F51" s="3">
        <v>30</v>
      </c>
      <c r="G51">
        <v>52</v>
      </c>
      <c r="H51">
        <v>84</v>
      </c>
    </row>
    <row r="52" spans="1:8">
      <c r="A52" t="s">
        <v>36</v>
      </c>
      <c r="B52" t="s">
        <v>37</v>
      </c>
      <c r="C52" t="s">
        <v>24</v>
      </c>
      <c r="E52">
        <v>31</v>
      </c>
      <c r="F52" s="3">
        <v>35</v>
      </c>
      <c r="G52">
        <v>2</v>
      </c>
      <c r="H52">
        <v>15</v>
      </c>
    </row>
    <row r="53" spans="1:8">
      <c r="A53" t="s">
        <v>36</v>
      </c>
      <c r="B53" t="s">
        <v>37</v>
      </c>
      <c r="C53" t="s">
        <v>24</v>
      </c>
      <c r="E53">
        <v>36</v>
      </c>
      <c r="F53" s="3">
        <v>40</v>
      </c>
      <c r="G53">
        <v>6</v>
      </c>
      <c r="H53">
        <v>8</v>
      </c>
    </row>
    <row r="54" spans="1:8">
      <c r="A54" t="s">
        <v>36</v>
      </c>
      <c r="B54" t="s">
        <v>37</v>
      </c>
      <c r="C54" t="s">
        <v>24</v>
      </c>
      <c r="E54">
        <v>41</v>
      </c>
      <c r="F54">
        <v>45</v>
      </c>
      <c r="G54">
        <v>2</v>
      </c>
      <c r="H54">
        <v>4</v>
      </c>
    </row>
    <row r="55" spans="1:8">
      <c r="A55" t="s">
        <v>38</v>
      </c>
      <c r="B55">
        <v>2016</v>
      </c>
      <c r="C55" t="s">
        <v>39</v>
      </c>
      <c r="D55" t="s">
        <v>10</v>
      </c>
      <c r="E55">
        <v>15</v>
      </c>
      <c r="F55" s="3">
        <v>24</v>
      </c>
      <c r="G55">
        <v>25</v>
      </c>
      <c r="H55">
        <v>57</v>
      </c>
    </row>
    <row r="56" spans="1:8">
      <c r="A56" t="s">
        <v>38</v>
      </c>
      <c r="B56">
        <v>2016</v>
      </c>
      <c r="C56" t="s">
        <v>39</v>
      </c>
      <c r="D56" t="s">
        <v>10</v>
      </c>
      <c r="E56">
        <v>25</v>
      </c>
      <c r="F56" s="3">
        <v>34</v>
      </c>
      <c r="G56">
        <v>69</v>
      </c>
      <c r="H56">
        <v>125</v>
      </c>
    </row>
    <row r="57" spans="1:8">
      <c r="A57" t="s">
        <v>38</v>
      </c>
      <c r="B57">
        <v>2016</v>
      </c>
      <c r="C57" t="s">
        <v>39</v>
      </c>
      <c r="D57" t="s">
        <v>10</v>
      </c>
      <c r="E57">
        <v>35</v>
      </c>
      <c r="F57">
        <v>44</v>
      </c>
      <c r="G57">
        <v>18</v>
      </c>
      <c r="H57">
        <v>28</v>
      </c>
    </row>
    <row r="58" spans="1:8">
      <c r="A58" t="s">
        <v>40</v>
      </c>
      <c r="B58">
        <v>2018</v>
      </c>
      <c r="C58" t="s">
        <v>41</v>
      </c>
      <c r="E58">
        <v>14</v>
      </c>
      <c r="F58" s="3">
        <v>23</v>
      </c>
      <c r="G58">
        <v>14</v>
      </c>
      <c r="H58">
        <v>44</v>
      </c>
    </row>
    <row r="59" spans="1:8">
      <c r="A59" t="s">
        <v>40</v>
      </c>
      <c r="B59">
        <v>2018</v>
      </c>
      <c r="C59" t="s">
        <v>41</v>
      </c>
      <c r="E59">
        <v>24</v>
      </c>
      <c r="F59" s="3">
        <v>33</v>
      </c>
      <c r="G59">
        <v>21</v>
      </c>
      <c r="H59">
        <v>61</v>
      </c>
    </row>
    <row r="60" spans="1:8">
      <c r="A60" t="s">
        <v>40</v>
      </c>
      <c r="B60">
        <v>2018</v>
      </c>
      <c r="C60" t="s">
        <v>41</v>
      </c>
      <c r="E60">
        <v>34</v>
      </c>
      <c r="F60" s="3">
        <v>43</v>
      </c>
      <c r="G60">
        <v>6</v>
      </c>
      <c r="H60">
        <v>17</v>
      </c>
    </row>
    <row r="61" spans="1:8">
      <c r="A61" t="s">
        <v>40</v>
      </c>
      <c r="B61">
        <v>2018</v>
      </c>
      <c r="C61" t="s">
        <v>41</v>
      </c>
      <c r="E61">
        <v>44</v>
      </c>
      <c r="F61">
        <v>50</v>
      </c>
      <c r="G61">
        <v>3</v>
      </c>
      <c r="H61">
        <v>5</v>
      </c>
    </row>
    <row r="62" spans="1:8">
      <c r="A62" t="s">
        <v>42</v>
      </c>
      <c r="B62" t="s">
        <v>26</v>
      </c>
      <c r="C62" t="s">
        <v>43</v>
      </c>
      <c r="E62">
        <v>17</v>
      </c>
      <c r="F62" s="3">
        <v>19</v>
      </c>
      <c r="G62">
        <v>1</v>
      </c>
      <c r="H62">
        <v>12</v>
      </c>
    </row>
    <row r="63" spans="1:8">
      <c r="A63" t="s">
        <v>42</v>
      </c>
      <c r="B63" t="s">
        <v>26</v>
      </c>
      <c r="C63" t="s">
        <v>43</v>
      </c>
      <c r="E63">
        <v>20</v>
      </c>
      <c r="F63" s="3">
        <v>24</v>
      </c>
      <c r="G63">
        <v>9</v>
      </c>
      <c r="H63">
        <v>32</v>
      </c>
    </row>
    <row r="64" spans="1:8">
      <c r="A64" t="s">
        <v>42</v>
      </c>
      <c r="B64" t="s">
        <v>26</v>
      </c>
      <c r="C64" t="s">
        <v>43</v>
      </c>
      <c r="E64">
        <v>25</v>
      </c>
      <c r="F64" s="3">
        <v>29</v>
      </c>
      <c r="G64">
        <v>6</v>
      </c>
      <c r="H64">
        <v>29</v>
      </c>
    </row>
    <row r="65" spans="1:8">
      <c r="A65" t="s">
        <v>42</v>
      </c>
      <c r="B65" t="s">
        <v>26</v>
      </c>
      <c r="C65" t="s">
        <v>43</v>
      </c>
      <c r="E65">
        <v>30</v>
      </c>
      <c r="F65" s="3">
        <v>35</v>
      </c>
      <c r="G65">
        <v>4</v>
      </c>
      <c r="H65">
        <v>15</v>
      </c>
    </row>
    <row r="66" spans="1:8">
      <c r="A66" t="s">
        <v>42</v>
      </c>
      <c r="B66" t="s">
        <v>26</v>
      </c>
      <c r="C66" t="s">
        <v>43</v>
      </c>
      <c r="E66">
        <v>36</v>
      </c>
      <c r="F66" t="s">
        <v>17</v>
      </c>
      <c r="G66">
        <v>2</v>
      </c>
      <c r="H66">
        <v>8</v>
      </c>
    </row>
    <row r="67" spans="1:8">
      <c r="A67" t="s">
        <v>44</v>
      </c>
      <c r="B67" t="s">
        <v>45</v>
      </c>
      <c r="C67" t="s">
        <v>24</v>
      </c>
      <c r="E67">
        <v>15</v>
      </c>
      <c r="F67" s="2">
        <v>24.9</v>
      </c>
      <c r="G67">
        <v>127</v>
      </c>
      <c r="H67">
        <v>161</v>
      </c>
    </row>
    <row r="68" spans="1:8">
      <c r="A68" t="s">
        <v>44</v>
      </c>
      <c r="B68" t="s">
        <v>45</v>
      </c>
      <c r="C68" t="s">
        <v>24</v>
      </c>
      <c r="E68">
        <v>25</v>
      </c>
      <c r="F68" s="2">
        <v>34.9</v>
      </c>
      <c r="G68">
        <v>250</v>
      </c>
      <c r="H68">
        <v>301</v>
      </c>
    </row>
    <row r="69" spans="1:8">
      <c r="A69" t="s">
        <v>44</v>
      </c>
      <c r="B69" t="s">
        <v>45</v>
      </c>
      <c r="C69" t="s">
        <v>24</v>
      </c>
      <c r="E69">
        <v>35</v>
      </c>
      <c r="F69">
        <v>42</v>
      </c>
      <c r="G69">
        <v>5</v>
      </c>
      <c r="H69">
        <v>32</v>
      </c>
    </row>
    <row r="70" spans="1:8">
      <c r="A70" t="s">
        <v>46</v>
      </c>
      <c r="B70">
        <v>2018</v>
      </c>
      <c r="C70" t="s">
        <v>24</v>
      </c>
      <c r="E70">
        <v>15</v>
      </c>
      <c r="F70">
        <v>24</v>
      </c>
      <c r="G70">
        <v>13</v>
      </c>
      <c r="H70">
        <v>117</v>
      </c>
    </row>
    <row r="71" spans="1:8">
      <c r="A71" t="s">
        <v>46</v>
      </c>
      <c r="B71">
        <v>2018</v>
      </c>
      <c r="C71" t="s">
        <v>24</v>
      </c>
      <c r="E71">
        <v>25</v>
      </c>
      <c r="F71">
        <v>34</v>
      </c>
      <c r="G71">
        <v>65</v>
      </c>
      <c r="H71">
        <v>178</v>
      </c>
    </row>
    <row r="72" spans="1:8">
      <c r="A72" t="s">
        <v>46</v>
      </c>
      <c r="B72">
        <v>2018</v>
      </c>
      <c r="C72" t="s">
        <v>24</v>
      </c>
      <c r="E72">
        <v>35</v>
      </c>
      <c r="F72">
        <v>49</v>
      </c>
      <c r="G72">
        <v>50</v>
      </c>
      <c r="H72">
        <v>65</v>
      </c>
    </row>
    <row r="73" spans="1:8">
      <c r="A73" t="s">
        <v>47</v>
      </c>
      <c r="B73">
        <v>2015</v>
      </c>
      <c r="C73" t="s">
        <v>19</v>
      </c>
      <c r="E73" t="s">
        <v>17</v>
      </c>
      <c r="F73" t="s">
        <v>17</v>
      </c>
      <c r="G73" t="s">
        <v>17</v>
      </c>
      <c r="H73" t="s">
        <v>17</v>
      </c>
    </row>
    <row r="74" spans="1:8">
      <c r="A74" t="s">
        <v>48</v>
      </c>
      <c r="B74">
        <v>2016</v>
      </c>
      <c r="C74" t="s">
        <v>41</v>
      </c>
      <c r="E74">
        <v>20</v>
      </c>
      <c r="F74">
        <v>25</v>
      </c>
      <c r="G74" s="3">
        <f>52*0.4617</f>
        <v>24.008400000000002</v>
      </c>
      <c r="H74">
        <v>52</v>
      </c>
    </row>
    <row r="75" spans="1:8">
      <c r="A75" t="s">
        <v>48</v>
      </c>
      <c r="B75">
        <v>2016</v>
      </c>
      <c r="C75" t="s">
        <v>41</v>
      </c>
      <c r="E75">
        <v>26</v>
      </c>
      <c r="F75">
        <v>30</v>
      </c>
      <c r="G75" s="3">
        <f>H75*0.4634</f>
        <v>37.998799999999996</v>
      </c>
      <c r="H75">
        <v>82</v>
      </c>
    </row>
    <row r="76" spans="1:8">
      <c r="A76" t="s">
        <v>48</v>
      </c>
      <c r="B76">
        <v>2016</v>
      </c>
      <c r="C76" t="s">
        <v>41</v>
      </c>
      <c r="E76">
        <v>31</v>
      </c>
      <c r="F76">
        <v>35</v>
      </c>
      <c r="G76" s="3">
        <f>H76*0.4524</f>
        <v>19.000800000000002</v>
      </c>
      <c r="H76">
        <v>42</v>
      </c>
    </row>
    <row r="77" spans="1:8">
      <c r="A77" t="s">
        <v>48</v>
      </c>
      <c r="B77">
        <v>2016</v>
      </c>
      <c r="C77" t="s">
        <v>41</v>
      </c>
      <c r="E77">
        <v>36</v>
      </c>
      <c r="F77" t="s">
        <v>49</v>
      </c>
      <c r="G77" s="3">
        <f>H77*0.4167</f>
        <v>10.0008</v>
      </c>
      <c r="H77">
        <v>24</v>
      </c>
    </row>
    <row r="78" spans="1:8">
      <c r="A78" t="s">
        <v>50</v>
      </c>
      <c r="B78">
        <v>2014</v>
      </c>
      <c r="C78" t="s">
        <v>41</v>
      </c>
      <c r="E78">
        <v>15</v>
      </c>
      <c r="F78">
        <v>20</v>
      </c>
      <c r="G78" s="3" t="s">
        <v>17</v>
      </c>
      <c r="H78" t="s">
        <v>17</v>
      </c>
    </row>
    <row r="79" spans="1:8">
      <c r="A79" t="s">
        <v>50</v>
      </c>
      <c r="B79">
        <v>2014</v>
      </c>
      <c r="C79" t="s">
        <v>41</v>
      </c>
      <c r="E79">
        <v>21</v>
      </c>
      <c r="F79">
        <v>25</v>
      </c>
      <c r="G79" s="3" t="s">
        <v>17</v>
      </c>
      <c r="H79" t="s">
        <v>17</v>
      </c>
    </row>
    <row r="80" spans="1:8">
      <c r="A80" t="s">
        <v>50</v>
      </c>
      <c r="B80">
        <v>2014</v>
      </c>
      <c r="C80" t="s">
        <v>41</v>
      </c>
      <c r="E80">
        <v>26</v>
      </c>
      <c r="F80">
        <v>30</v>
      </c>
      <c r="G80" s="3" t="s">
        <v>17</v>
      </c>
      <c r="H80" t="s">
        <v>17</v>
      </c>
    </row>
    <row r="81" spans="1:8">
      <c r="A81" t="s">
        <v>50</v>
      </c>
      <c r="B81">
        <v>2014</v>
      </c>
      <c r="C81" t="s">
        <v>41</v>
      </c>
      <c r="E81">
        <v>31</v>
      </c>
      <c r="F81">
        <v>35</v>
      </c>
      <c r="G81" s="3" t="s">
        <v>17</v>
      </c>
      <c r="H81" t="s">
        <v>17</v>
      </c>
    </row>
    <row r="82" spans="1:8">
      <c r="A82" t="s">
        <v>50</v>
      </c>
      <c r="B82">
        <v>2014</v>
      </c>
      <c r="C82" t="s">
        <v>41</v>
      </c>
      <c r="E82">
        <v>36</v>
      </c>
      <c r="F82">
        <v>40</v>
      </c>
      <c r="G82" s="3" t="s">
        <v>17</v>
      </c>
      <c r="H82" t="s">
        <v>17</v>
      </c>
    </row>
    <row r="83" spans="1:8">
      <c r="A83" t="s">
        <v>50</v>
      </c>
      <c r="B83">
        <v>2014</v>
      </c>
      <c r="C83" t="s">
        <v>41</v>
      </c>
      <c r="E83">
        <v>41</v>
      </c>
      <c r="F83">
        <v>50</v>
      </c>
      <c r="G83" s="3" t="s">
        <v>17</v>
      </c>
      <c r="H83" t="s">
        <v>17</v>
      </c>
    </row>
    <row r="84" spans="1:8">
      <c r="A84" t="s">
        <v>51</v>
      </c>
      <c r="B84">
        <v>2015</v>
      </c>
      <c r="C84" t="s">
        <v>24</v>
      </c>
      <c r="E84">
        <v>15</v>
      </c>
      <c r="F84">
        <v>19</v>
      </c>
      <c r="G84">
        <v>11</v>
      </c>
      <c r="H84">
        <v>55</v>
      </c>
    </row>
    <row r="85" spans="1:8">
      <c r="A85" t="s">
        <v>51</v>
      </c>
      <c r="B85">
        <v>2015</v>
      </c>
      <c r="C85" t="s">
        <v>24</v>
      </c>
      <c r="E85">
        <v>20</v>
      </c>
      <c r="F85">
        <v>24</v>
      </c>
      <c r="G85">
        <v>37</v>
      </c>
      <c r="H85">
        <v>146</v>
      </c>
    </row>
    <row r="86" spans="1:8">
      <c r="A86" t="s">
        <v>51</v>
      </c>
      <c r="B86">
        <v>2015</v>
      </c>
      <c r="C86" t="s">
        <v>24</v>
      </c>
      <c r="E86">
        <v>25</v>
      </c>
      <c r="F86">
        <v>29</v>
      </c>
      <c r="G86">
        <v>28</v>
      </c>
      <c r="H86">
        <v>115</v>
      </c>
    </row>
    <row r="87" spans="1:8">
      <c r="A87" t="s">
        <v>51</v>
      </c>
      <c r="B87">
        <v>2015</v>
      </c>
      <c r="C87" t="s">
        <v>24</v>
      </c>
      <c r="E87">
        <v>30</v>
      </c>
      <c r="F87">
        <v>34</v>
      </c>
      <c r="G87">
        <v>14</v>
      </c>
      <c r="H87">
        <v>64</v>
      </c>
    </row>
    <row r="88" spans="1:8">
      <c r="A88" t="s">
        <v>51</v>
      </c>
      <c r="B88">
        <v>2015</v>
      </c>
      <c r="C88" t="s">
        <v>24</v>
      </c>
      <c r="E88">
        <v>35</v>
      </c>
      <c r="F88">
        <v>39</v>
      </c>
      <c r="G88">
        <v>6</v>
      </c>
      <c r="H88">
        <v>16</v>
      </c>
    </row>
    <row r="89" spans="1:8">
      <c r="A89" t="s">
        <v>52</v>
      </c>
      <c r="C89" t="s">
        <v>12</v>
      </c>
      <c r="E89" t="s">
        <v>17</v>
      </c>
      <c r="F89">
        <v>20</v>
      </c>
      <c r="G89">
        <v>5</v>
      </c>
      <c r="H89">
        <v>22</v>
      </c>
    </row>
    <row r="90" spans="1:8">
      <c r="A90" t="s">
        <v>52</v>
      </c>
      <c r="C90" t="s">
        <v>12</v>
      </c>
      <c r="E90">
        <v>21</v>
      </c>
      <c r="F90">
        <v>30</v>
      </c>
      <c r="G90">
        <f>71+42</f>
        <v>113</v>
      </c>
      <c r="H90">
        <v>246</v>
      </c>
    </row>
    <row r="91" spans="1:8">
      <c r="A91" t="s">
        <v>52</v>
      </c>
      <c r="C91" t="s">
        <v>12</v>
      </c>
      <c r="E91">
        <v>31</v>
      </c>
      <c r="F91">
        <v>40</v>
      </c>
      <c r="G91">
        <f>44+23</f>
        <v>67</v>
      </c>
      <c r="H91">
        <v>120</v>
      </c>
    </row>
    <row r="92" spans="1:8">
      <c r="A92" t="s">
        <v>52</v>
      </c>
      <c r="C92" t="s">
        <v>12</v>
      </c>
      <c r="E92">
        <v>41</v>
      </c>
      <c r="F92">
        <v>50</v>
      </c>
      <c r="G92">
        <v>1</v>
      </c>
      <c r="H92">
        <v>3</v>
      </c>
    </row>
    <row r="93" spans="1:8">
      <c r="A93" t="s">
        <v>53</v>
      </c>
      <c r="B93" t="s">
        <v>45</v>
      </c>
      <c r="C93" t="s">
        <v>43</v>
      </c>
      <c r="E93">
        <v>15</v>
      </c>
      <c r="F93">
        <v>19</v>
      </c>
      <c r="G93">
        <v>0</v>
      </c>
      <c r="H93">
        <v>9</v>
      </c>
    </row>
    <row r="94" spans="1:8">
      <c r="A94" t="s">
        <v>53</v>
      </c>
      <c r="B94" t="s">
        <v>45</v>
      </c>
      <c r="C94" t="s">
        <v>43</v>
      </c>
      <c r="E94">
        <v>20</v>
      </c>
      <c r="F94">
        <v>24</v>
      </c>
      <c r="G94">
        <v>17</v>
      </c>
      <c r="H94">
        <v>108</v>
      </c>
    </row>
    <row r="95" spans="1:8">
      <c r="A95" t="s">
        <v>53</v>
      </c>
      <c r="B95" t="s">
        <v>45</v>
      </c>
      <c r="C95" t="s">
        <v>43</v>
      </c>
      <c r="E95">
        <v>25</v>
      </c>
      <c r="F95">
        <v>29</v>
      </c>
      <c r="G95">
        <v>27</v>
      </c>
      <c r="H95">
        <v>176</v>
      </c>
    </row>
    <row r="96" spans="1:8">
      <c r="A96" t="s">
        <v>53</v>
      </c>
      <c r="B96" t="s">
        <v>45</v>
      </c>
      <c r="C96" t="s">
        <v>43</v>
      </c>
      <c r="E96">
        <v>30</v>
      </c>
      <c r="F96">
        <v>34</v>
      </c>
      <c r="G96">
        <v>19</v>
      </c>
      <c r="H96">
        <v>62</v>
      </c>
    </row>
    <row r="97" spans="1:9">
      <c r="A97" t="s">
        <v>53</v>
      </c>
      <c r="B97" t="s">
        <v>45</v>
      </c>
      <c r="C97" t="s">
        <v>43</v>
      </c>
      <c r="E97">
        <v>35</v>
      </c>
      <c r="F97">
        <v>39</v>
      </c>
      <c r="G97">
        <v>11</v>
      </c>
      <c r="H97">
        <v>26</v>
      </c>
    </row>
    <row r="98" spans="1:9">
      <c r="A98" t="s">
        <v>53</v>
      </c>
      <c r="B98" t="s">
        <v>45</v>
      </c>
      <c r="C98" t="s">
        <v>43</v>
      </c>
      <c r="E98">
        <v>40</v>
      </c>
      <c r="F98">
        <v>44</v>
      </c>
      <c r="G98">
        <v>5</v>
      </c>
      <c r="H98">
        <v>7</v>
      </c>
    </row>
    <row r="99" spans="1:9">
      <c r="A99" t="s">
        <v>54</v>
      </c>
      <c r="B99" t="s">
        <v>17</v>
      </c>
      <c r="C99" t="s">
        <v>12</v>
      </c>
      <c r="E99" t="s">
        <v>17</v>
      </c>
      <c r="F99" t="s">
        <v>17</v>
      </c>
      <c r="G99" t="s">
        <v>17</v>
      </c>
      <c r="H99" t="s">
        <v>17</v>
      </c>
    </row>
    <row r="100" spans="1:9">
      <c r="A100" t="s">
        <v>55</v>
      </c>
      <c r="B100" t="s">
        <v>56</v>
      </c>
      <c r="C100" t="s">
        <v>57</v>
      </c>
      <c r="E100">
        <v>15</v>
      </c>
      <c r="F100">
        <v>20</v>
      </c>
      <c r="G100" t="s">
        <v>17</v>
      </c>
      <c r="H100">
        <v>10</v>
      </c>
    </row>
    <row r="101" spans="1:9">
      <c r="A101" t="s">
        <v>55</v>
      </c>
      <c r="B101" t="s">
        <v>56</v>
      </c>
      <c r="C101" t="s">
        <v>57</v>
      </c>
      <c r="E101">
        <v>21</v>
      </c>
      <c r="F101">
        <v>30</v>
      </c>
      <c r="G101" t="s">
        <v>17</v>
      </c>
      <c r="H101">
        <v>37</v>
      </c>
      <c r="I101" t="s">
        <v>58</v>
      </c>
    </row>
    <row r="102" spans="1:9">
      <c r="A102" t="s">
        <v>55</v>
      </c>
      <c r="B102" t="s">
        <v>56</v>
      </c>
      <c r="C102" t="s">
        <v>57</v>
      </c>
      <c r="E102">
        <v>31</v>
      </c>
      <c r="F102">
        <v>40</v>
      </c>
      <c r="G102" t="s">
        <v>17</v>
      </c>
      <c r="H102">
        <v>20</v>
      </c>
    </row>
    <row r="103" spans="1:9">
      <c r="A103" t="s">
        <v>55</v>
      </c>
      <c r="B103" t="s">
        <v>56</v>
      </c>
      <c r="C103" t="s">
        <v>57</v>
      </c>
      <c r="E103">
        <v>41</v>
      </c>
      <c r="F103">
        <v>45</v>
      </c>
      <c r="G103" t="s">
        <v>59</v>
      </c>
      <c r="H103">
        <v>1</v>
      </c>
    </row>
    <row r="104" spans="1:9">
      <c r="A104" t="s">
        <v>60</v>
      </c>
      <c r="B104">
        <v>2017</v>
      </c>
      <c r="C104" t="s">
        <v>19</v>
      </c>
      <c r="E104">
        <v>18</v>
      </c>
      <c r="F104">
        <v>25</v>
      </c>
      <c r="G104">
        <v>20</v>
      </c>
      <c r="H104">
        <v>43</v>
      </c>
    </row>
    <row r="105" spans="1:9">
      <c r="A105" t="s">
        <v>60</v>
      </c>
      <c r="B105">
        <v>2017</v>
      </c>
      <c r="C105" t="s">
        <v>19</v>
      </c>
      <c r="E105">
        <v>26</v>
      </c>
      <c r="F105">
        <v>35</v>
      </c>
      <c r="G105">
        <v>72</v>
      </c>
      <c r="H105">
        <v>171</v>
      </c>
    </row>
    <row r="106" spans="1:9">
      <c r="A106" t="s">
        <v>60</v>
      </c>
      <c r="B106">
        <v>2017</v>
      </c>
      <c r="C106" t="s">
        <v>19</v>
      </c>
      <c r="E106">
        <v>36</v>
      </c>
      <c r="F106" t="s">
        <v>17</v>
      </c>
      <c r="G106">
        <v>21</v>
      </c>
      <c r="H106">
        <v>40</v>
      </c>
    </row>
    <row r="107" spans="1:9">
      <c r="A107" t="s">
        <v>61</v>
      </c>
      <c r="B107" t="s">
        <v>62</v>
      </c>
      <c r="C107" t="s">
        <v>22</v>
      </c>
      <c r="E107">
        <v>15</v>
      </c>
      <c r="F107">
        <v>20</v>
      </c>
      <c r="G107" s="3">
        <f>H107*0.023</f>
        <v>0.73599999999999999</v>
      </c>
      <c r="H107">
        <v>32</v>
      </c>
    </row>
    <row r="108" spans="1:9">
      <c r="A108" t="s">
        <v>61</v>
      </c>
      <c r="B108" t="s">
        <v>62</v>
      </c>
      <c r="C108" t="s">
        <v>22</v>
      </c>
      <c r="E108">
        <v>21</v>
      </c>
      <c r="F108">
        <v>25</v>
      </c>
      <c r="G108" s="3">
        <f>H108*0.147</f>
        <v>29.693999999999999</v>
      </c>
      <c r="H108">
        <v>202</v>
      </c>
    </row>
    <row r="109" spans="1:9">
      <c r="A109" t="s">
        <v>61</v>
      </c>
      <c r="B109" t="s">
        <v>62</v>
      </c>
      <c r="C109" t="s">
        <v>22</v>
      </c>
      <c r="E109">
        <v>26</v>
      </c>
      <c r="F109">
        <v>30</v>
      </c>
      <c r="G109" s="3">
        <f>H109*0.269</f>
        <v>99.26100000000001</v>
      </c>
      <c r="H109">
        <v>369</v>
      </c>
    </row>
    <row r="110" spans="1:9">
      <c r="A110" t="s">
        <v>61</v>
      </c>
      <c r="B110" t="s">
        <v>62</v>
      </c>
      <c r="C110" t="s">
        <v>22</v>
      </c>
      <c r="E110">
        <v>31</v>
      </c>
      <c r="F110">
        <v>35</v>
      </c>
      <c r="G110" s="3">
        <f>H110*0.248</f>
        <v>84.072000000000003</v>
      </c>
      <c r="H110">
        <v>339</v>
      </c>
    </row>
    <row r="111" spans="1:9">
      <c r="A111" t="s">
        <v>61</v>
      </c>
      <c r="B111" t="s">
        <v>62</v>
      </c>
      <c r="C111" t="s">
        <v>22</v>
      </c>
      <c r="E111">
        <v>36</v>
      </c>
      <c r="F111">
        <v>40</v>
      </c>
      <c r="G111" s="3">
        <f>H111*0.209</f>
        <v>59.774000000000001</v>
      </c>
      <c r="H111">
        <v>286</v>
      </c>
    </row>
    <row r="112" spans="1:9">
      <c r="A112" t="s">
        <v>61</v>
      </c>
      <c r="B112" t="s">
        <v>62</v>
      </c>
      <c r="C112" t="s">
        <v>22</v>
      </c>
      <c r="E112">
        <v>41</v>
      </c>
      <c r="F112">
        <v>45</v>
      </c>
      <c r="G112" s="3">
        <f>H112*0.081</f>
        <v>9.072000000000001</v>
      </c>
      <c r="H112">
        <v>112</v>
      </c>
    </row>
    <row r="113" spans="1:8">
      <c r="A113" t="s">
        <v>61</v>
      </c>
      <c r="B113" t="s">
        <v>62</v>
      </c>
      <c r="C113" t="s">
        <v>22</v>
      </c>
      <c r="E113">
        <v>46</v>
      </c>
      <c r="F113">
        <v>50</v>
      </c>
      <c r="G113" s="3">
        <f>H113*0.019</f>
        <v>0.51300000000000001</v>
      </c>
      <c r="H113">
        <v>27</v>
      </c>
    </row>
    <row r="114" spans="1:8">
      <c r="A114" t="s">
        <v>63</v>
      </c>
      <c r="B114" t="s">
        <v>64</v>
      </c>
      <c r="C114" t="s">
        <v>65</v>
      </c>
      <c r="E114">
        <v>13</v>
      </c>
      <c r="F114">
        <v>17</v>
      </c>
      <c r="G114">
        <v>129</v>
      </c>
      <c r="H114">
        <v>265</v>
      </c>
    </row>
    <row r="115" spans="1:8">
      <c r="A115" t="s">
        <v>63</v>
      </c>
      <c r="B115" t="s">
        <v>64</v>
      </c>
      <c r="C115" t="s">
        <v>65</v>
      </c>
      <c r="E115">
        <v>18</v>
      </c>
      <c r="F115">
        <v>24</v>
      </c>
      <c r="G115">
        <v>132</v>
      </c>
      <c r="H115">
        <v>300</v>
      </c>
    </row>
    <row r="116" spans="1:8">
      <c r="A116" t="s">
        <v>63</v>
      </c>
      <c r="B116" t="s">
        <v>64</v>
      </c>
      <c r="C116" t="s">
        <v>65</v>
      </c>
      <c r="E116">
        <v>25</v>
      </c>
      <c r="F116">
        <v>44</v>
      </c>
      <c r="G116">
        <v>155</v>
      </c>
      <c r="H116">
        <v>408</v>
      </c>
    </row>
    <row r="117" spans="1:8">
      <c r="A117" t="s">
        <v>66</v>
      </c>
      <c r="B117">
        <v>2014</v>
      </c>
      <c r="C117" t="s">
        <v>43</v>
      </c>
      <c r="E117" t="s">
        <v>17</v>
      </c>
      <c r="F117">
        <v>25</v>
      </c>
      <c r="G117">
        <v>102</v>
      </c>
      <c r="H117">
        <v>347</v>
      </c>
    </row>
    <row r="118" spans="1:8">
      <c r="A118" t="s">
        <v>66</v>
      </c>
      <c r="B118">
        <v>2014</v>
      </c>
      <c r="C118" t="s">
        <v>43</v>
      </c>
      <c r="E118">
        <v>26</v>
      </c>
      <c r="F118" t="s">
        <v>17</v>
      </c>
      <c r="G118">
        <v>107</v>
      </c>
      <c r="H118">
        <v>346</v>
      </c>
    </row>
    <row r="119" spans="1:8">
      <c r="A119" t="s">
        <v>67</v>
      </c>
      <c r="B119">
        <v>2015</v>
      </c>
      <c r="C119" t="s">
        <v>68</v>
      </c>
      <c r="E119">
        <v>15</v>
      </c>
      <c r="F119">
        <v>24</v>
      </c>
      <c r="G119" s="3">
        <f>H119*0.117</f>
        <v>9.0090000000000003</v>
      </c>
      <c r="H119">
        <v>77</v>
      </c>
    </row>
    <row r="120" spans="1:8">
      <c r="A120" t="s">
        <v>67</v>
      </c>
      <c r="B120">
        <v>2015</v>
      </c>
      <c r="C120" t="s">
        <v>68</v>
      </c>
      <c r="E120">
        <v>25</v>
      </c>
      <c r="F120">
        <v>34</v>
      </c>
      <c r="G120" s="3">
        <f>H120*0.0408</f>
        <v>9.9960000000000004</v>
      </c>
      <c r="H120">
        <v>245</v>
      </c>
    </row>
    <row r="121" spans="1:8">
      <c r="A121" t="s">
        <v>67</v>
      </c>
      <c r="B121">
        <v>2015</v>
      </c>
      <c r="C121" t="s">
        <v>68</v>
      </c>
      <c r="E121">
        <v>35</v>
      </c>
      <c r="F121">
        <v>49</v>
      </c>
      <c r="G121" s="3">
        <f>H121*0.0562</f>
        <v>5.0018000000000002</v>
      </c>
      <c r="H121">
        <v>89</v>
      </c>
    </row>
    <row r="122" spans="1:8">
      <c r="A122" t="s">
        <v>69</v>
      </c>
      <c r="B122">
        <v>2016</v>
      </c>
      <c r="C122" t="s">
        <v>12</v>
      </c>
      <c r="E122">
        <v>15</v>
      </c>
      <c r="F122">
        <v>19</v>
      </c>
      <c r="G122" s="3">
        <v>74</v>
      </c>
      <c r="H122">
        <v>140</v>
      </c>
    </row>
    <row r="123" spans="1:8">
      <c r="A123" t="s">
        <v>69</v>
      </c>
      <c r="B123">
        <v>2016</v>
      </c>
      <c r="C123" t="s">
        <v>12</v>
      </c>
      <c r="E123">
        <v>20</v>
      </c>
      <c r="F123">
        <v>39</v>
      </c>
      <c r="G123" s="3">
        <v>29</v>
      </c>
      <c r="H123">
        <v>150</v>
      </c>
    </row>
    <row r="124" spans="1:8">
      <c r="A124" t="s">
        <v>69</v>
      </c>
      <c r="B124">
        <v>2016</v>
      </c>
      <c r="C124" t="s">
        <v>12</v>
      </c>
      <c r="E124">
        <v>40</v>
      </c>
      <c r="F124">
        <v>49</v>
      </c>
      <c r="G124">
        <v>9</v>
      </c>
      <c r="H124">
        <v>110</v>
      </c>
    </row>
    <row r="125" spans="1:8">
      <c r="A125" t="s">
        <v>70</v>
      </c>
      <c r="B125">
        <v>2014</v>
      </c>
      <c r="C125" t="s">
        <v>71</v>
      </c>
      <c r="E125">
        <v>18</v>
      </c>
      <c r="F125">
        <v>25</v>
      </c>
      <c r="G125" s="3">
        <v>18</v>
      </c>
      <c r="H125">
        <v>156</v>
      </c>
    </row>
    <row r="126" spans="1:8">
      <c r="A126" t="s">
        <v>70</v>
      </c>
      <c r="B126">
        <v>2014</v>
      </c>
      <c r="C126" t="s">
        <v>71</v>
      </c>
      <c r="E126">
        <v>26</v>
      </c>
      <c r="F126">
        <v>35</v>
      </c>
      <c r="G126" s="3">
        <v>23</v>
      </c>
      <c r="H126">
        <v>193</v>
      </c>
    </row>
    <row r="127" spans="1:8">
      <c r="A127" t="s">
        <v>70</v>
      </c>
      <c r="B127">
        <v>2014</v>
      </c>
      <c r="C127" t="s">
        <v>71</v>
      </c>
      <c r="E127">
        <v>36</v>
      </c>
      <c r="F127">
        <v>45</v>
      </c>
      <c r="G127" s="3">
        <v>6</v>
      </c>
      <c r="H127">
        <v>35</v>
      </c>
    </row>
    <row r="128" spans="1:8">
      <c r="A128" t="s">
        <v>72</v>
      </c>
      <c r="B128" t="s">
        <v>73</v>
      </c>
      <c r="C128" t="s">
        <v>19</v>
      </c>
      <c r="E128">
        <v>18</v>
      </c>
      <c r="F128">
        <v>20</v>
      </c>
      <c r="G128" s="3">
        <v>2</v>
      </c>
      <c r="H128">
        <v>15</v>
      </c>
    </row>
    <row r="129" spans="1:8">
      <c r="A129" t="s">
        <v>72</v>
      </c>
      <c r="B129" t="s">
        <v>73</v>
      </c>
      <c r="C129" t="s">
        <v>19</v>
      </c>
      <c r="E129">
        <v>21</v>
      </c>
      <c r="F129">
        <v>35</v>
      </c>
      <c r="G129" s="3">
        <v>121</v>
      </c>
      <c r="H129">
        <v>295</v>
      </c>
    </row>
    <row r="130" spans="1:8">
      <c r="A130" t="s">
        <v>72</v>
      </c>
      <c r="B130" t="s">
        <v>73</v>
      </c>
      <c r="C130" t="s">
        <v>19</v>
      </c>
      <c r="E130">
        <v>36</v>
      </c>
      <c r="F130" t="s">
        <v>17</v>
      </c>
      <c r="G130" s="3">
        <v>18</v>
      </c>
      <c r="H130">
        <v>37</v>
      </c>
    </row>
    <row r="131" spans="1:8">
      <c r="A131" t="s">
        <v>74</v>
      </c>
      <c r="B131" t="s">
        <v>75</v>
      </c>
      <c r="C131" t="s">
        <v>76</v>
      </c>
      <c r="E131">
        <v>17</v>
      </c>
      <c r="F131">
        <v>19</v>
      </c>
      <c r="G131" s="3">
        <v>18</v>
      </c>
      <c r="H131">
        <v>55</v>
      </c>
    </row>
    <row r="132" spans="1:8">
      <c r="A132" t="s">
        <v>74</v>
      </c>
      <c r="B132" t="s">
        <v>75</v>
      </c>
      <c r="C132" t="s">
        <v>76</v>
      </c>
      <c r="E132">
        <v>20</v>
      </c>
      <c r="F132">
        <v>29</v>
      </c>
      <c r="G132" s="3">
        <v>68</v>
      </c>
      <c r="H132">
        <v>212</v>
      </c>
    </row>
    <row r="133" spans="1:8">
      <c r="A133" t="s">
        <v>74</v>
      </c>
      <c r="B133" t="s">
        <v>75</v>
      </c>
      <c r="C133" t="s">
        <v>76</v>
      </c>
      <c r="E133">
        <v>30</v>
      </c>
      <c r="F133" t="s">
        <v>17</v>
      </c>
      <c r="G133" s="3">
        <v>12</v>
      </c>
      <c r="H133">
        <v>34</v>
      </c>
    </row>
    <row r="134" spans="1:8">
      <c r="A134" t="s">
        <v>77</v>
      </c>
      <c r="B134">
        <v>2013</v>
      </c>
      <c r="C134" t="s">
        <v>24</v>
      </c>
      <c r="E134">
        <v>15</v>
      </c>
      <c r="F134">
        <v>19</v>
      </c>
      <c r="G134" s="3">
        <v>25</v>
      </c>
      <c r="H134" s="3">
        <f>G134+36</f>
        <v>61</v>
      </c>
    </row>
    <row r="135" spans="1:8">
      <c r="A135" t="s">
        <v>77</v>
      </c>
      <c r="B135">
        <v>2013</v>
      </c>
      <c r="C135" t="s">
        <v>24</v>
      </c>
      <c r="E135">
        <v>20</v>
      </c>
      <c r="F135">
        <v>34</v>
      </c>
      <c r="G135" s="3">
        <v>78</v>
      </c>
      <c r="H135" s="3">
        <f>G135+143</f>
        <v>221</v>
      </c>
    </row>
    <row r="136" spans="1:8">
      <c r="A136" t="s">
        <v>77</v>
      </c>
      <c r="B136">
        <v>2013</v>
      </c>
      <c r="C136" t="s">
        <v>24</v>
      </c>
      <c r="E136">
        <v>35</v>
      </c>
      <c r="F136">
        <v>49</v>
      </c>
      <c r="G136" s="3">
        <v>2</v>
      </c>
      <c r="H136" s="3">
        <f>G136+17</f>
        <v>19</v>
      </c>
    </row>
    <row r="137" spans="1:8">
      <c r="A137" t="s">
        <v>78</v>
      </c>
      <c r="B137">
        <v>2015</v>
      </c>
      <c r="C137" t="s">
        <v>24</v>
      </c>
      <c r="E137">
        <v>15</v>
      </c>
      <c r="F137">
        <v>19</v>
      </c>
      <c r="G137" s="3">
        <v>12</v>
      </c>
      <c r="H137">
        <v>16</v>
      </c>
    </row>
    <row r="138" spans="1:8">
      <c r="A138" t="s">
        <v>78</v>
      </c>
      <c r="B138">
        <v>2015</v>
      </c>
      <c r="C138" t="s">
        <v>24</v>
      </c>
      <c r="E138">
        <v>20</v>
      </c>
      <c r="F138">
        <v>24</v>
      </c>
      <c r="G138" s="3">
        <v>59</v>
      </c>
      <c r="H138">
        <v>69</v>
      </c>
    </row>
    <row r="139" spans="1:8">
      <c r="A139" t="s">
        <v>78</v>
      </c>
      <c r="B139">
        <v>2015</v>
      </c>
      <c r="C139" t="s">
        <v>24</v>
      </c>
      <c r="E139">
        <v>25</v>
      </c>
      <c r="F139">
        <v>29</v>
      </c>
      <c r="G139" s="3">
        <v>79</v>
      </c>
      <c r="H139">
        <v>101</v>
      </c>
    </row>
    <row r="140" spans="1:8">
      <c r="A140" t="s">
        <v>78</v>
      </c>
      <c r="B140">
        <v>2015</v>
      </c>
      <c r="C140" t="s">
        <v>24</v>
      </c>
      <c r="E140">
        <v>30</v>
      </c>
      <c r="F140">
        <v>34</v>
      </c>
      <c r="G140" s="3">
        <v>24</v>
      </c>
      <c r="H140">
        <v>35</v>
      </c>
    </row>
    <row r="141" spans="1:8">
      <c r="A141" t="s">
        <v>78</v>
      </c>
      <c r="B141">
        <v>2015</v>
      </c>
      <c r="C141" t="s">
        <v>24</v>
      </c>
      <c r="E141">
        <v>35</v>
      </c>
      <c r="F141">
        <v>39</v>
      </c>
      <c r="G141" s="3">
        <v>10</v>
      </c>
      <c r="H141">
        <v>11</v>
      </c>
    </row>
    <row r="142" spans="1:8">
      <c r="A142" t="s">
        <v>79</v>
      </c>
      <c r="B142">
        <v>2016</v>
      </c>
      <c r="C142" t="s">
        <v>24</v>
      </c>
      <c r="E142">
        <v>15</v>
      </c>
      <c r="F142">
        <v>25</v>
      </c>
      <c r="G142" s="3">
        <v>47</v>
      </c>
      <c r="H142">
        <v>68</v>
      </c>
    </row>
    <row r="143" spans="1:8">
      <c r="A143" t="s">
        <v>79</v>
      </c>
      <c r="B143">
        <v>2016</v>
      </c>
      <c r="C143" t="s">
        <v>24</v>
      </c>
      <c r="E143">
        <v>26</v>
      </c>
      <c r="F143">
        <v>35</v>
      </c>
      <c r="G143" s="3">
        <v>47</v>
      </c>
      <c r="H143">
        <v>65</v>
      </c>
    </row>
    <row r="144" spans="1:8">
      <c r="A144" t="s">
        <v>79</v>
      </c>
      <c r="B144">
        <v>2016</v>
      </c>
      <c r="C144" t="s">
        <v>24</v>
      </c>
      <c r="E144">
        <v>36</v>
      </c>
      <c r="F144">
        <v>44</v>
      </c>
      <c r="G144" s="3">
        <v>65</v>
      </c>
      <c r="H144">
        <v>77</v>
      </c>
    </row>
    <row r="145" spans="1:8">
      <c r="A145" t="s">
        <v>80</v>
      </c>
      <c r="B145" t="s">
        <v>17</v>
      </c>
      <c r="C145" t="s">
        <v>27</v>
      </c>
      <c r="E145" t="s">
        <v>17</v>
      </c>
      <c r="F145" t="s">
        <v>17</v>
      </c>
      <c r="G145" t="s">
        <v>17</v>
      </c>
      <c r="H145" t="s">
        <v>17</v>
      </c>
    </row>
    <row r="146" spans="1:8">
      <c r="A146" t="s">
        <v>81</v>
      </c>
      <c r="B146">
        <v>2013</v>
      </c>
      <c r="C146" t="s">
        <v>12</v>
      </c>
      <c r="E146">
        <v>15</v>
      </c>
      <c r="F146">
        <v>24</v>
      </c>
      <c r="G146" t="s">
        <v>17</v>
      </c>
      <c r="H146" t="s">
        <v>17</v>
      </c>
    </row>
    <row r="147" spans="1:8">
      <c r="A147" t="s">
        <v>81</v>
      </c>
      <c r="B147">
        <v>2013</v>
      </c>
      <c r="C147" t="s">
        <v>12</v>
      </c>
      <c r="E147">
        <v>25</v>
      </c>
      <c r="F147">
        <v>34</v>
      </c>
      <c r="G147" t="s">
        <v>17</v>
      </c>
      <c r="H147" t="s">
        <v>17</v>
      </c>
    </row>
    <row r="148" spans="1:8">
      <c r="A148" t="s">
        <v>81</v>
      </c>
      <c r="B148">
        <v>2013</v>
      </c>
      <c r="C148" t="s">
        <v>12</v>
      </c>
      <c r="E148">
        <v>35</v>
      </c>
      <c r="F148">
        <v>44</v>
      </c>
      <c r="G148" t="s">
        <v>17</v>
      </c>
      <c r="H148" t="s">
        <v>17</v>
      </c>
    </row>
    <row r="149" spans="1:8">
      <c r="A149" t="s">
        <v>81</v>
      </c>
      <c r="B149">
        <v>2013</v>
      </c>
      <c r="C149" t="s">
        <v>12</v>
      </c>
      <c r="E149">
        <v>45</v>
      </c>
      <c r="F149">
        <v>54</v>
      </c>
      <c r="G149" t="s">
        <v>17</v>
      </c>
      <c r="H149" t="s">
        <v>17</v>
      </c>
    </row>
    <row r="150" spans="1:8">
      <c r="A150" t="s">
        <v>82</v>
      </c>
      <c r="B150" t="s">
        <v>83</v>
      </c>
      <c r="C150" t="s">
        <v>24</v>
      </c>
      <c r="E150">
        <v>16</v>
      </c>
      <c r="F150">
        <v>20</v>
      </c>
      <c r="G150">
        <v>64</v>
      </c>
      <c r="H150" s="3" t="s">
        <v>17</v>
      </c>
    </row>
    <row r="151" spans="1:8">
      <c r="A151" t="s">
        <v>82</v>
      </c>
      <c r="B151" t="s">
        <v>83</v>
      </c>
      <c r="C151" t="s">
        <v>24</v>
      </c>
      <c r="E151">
        <v>21</v>
      </c>
      <c r="F151">
        <v>30</v>
      </c>
      <c r="G151">
        <v>124</v>
      </c>
      <c r="H151" s="3" t="s">
        <v>17</v>
      </c>
    </row>
    <row r="152" spans="1:8">
      <c r="A152" t="s">
        <v>82</v>
      </c>
      <c r="B152" t="s">
        <v>83</v>
      </c>
      <c r="C152" t="s">
        <v>24</v>
      </c>
      <c r="E152">
        <v>31</v>
      </c>
      <c r="F152" t="s">
        <v>17</v>
      </c>
      <c r="G152">
        <v>10</v>
      </c>
      <c r="H152" s="3" t="s">
        <v>17</v>
      </c>
    </row>
    <row r="153" spans="1:8">
      <c r="A153" t="s">
        <v>84</v>
      </c>
      <c r="C153" t="s">
        <v>27</v>
      </c>
      <c r="E153">
        <v>16</v>
      </c>
      <c r="F153">
        <v>44</v>
      </c>
      <c r="G153">
        <v>64</v>
      </c>
      <c r="H153">
        <v>125</v>
      </c>
    </row>
    <row r="154" spans="1:8">
      <c r="A154" t="s">
        <v>85</v>
      </c>
      <c r="C154" t="s">
        <v>27</v>
      </c>
      <c r="E154">
        <v>18</v>
      </c>
      <c r="F154">
        <v>20</v>
      </c>
      <c r="G154">
        <v>1</v>
      </c>
      <c r="H154">
        <v>3</v>
      </c>
    </row>
    <row r="155" spans="1:8">
      <c r="A155" t="s">
        <v>85</v>
      </c>
      <c r="C155" t="s">
        <v>27</v>
      </c>
      <c r="E155">
        <v>21</v>
      </c>
      <c r="F155">
        <v>25</v>
      </c>
      <c r="G155">
        <v>8</v>
      </c>
      <c r="H155">
        <v>24</v>
      </c>
    </row>
    <row r="156" spans="1:8">
      <c r="A156" t="s">
        <v>85</v>
      </c>
      <c r="C156" t="s">
        <v>27</v>
      </c>
      <c r="E156">
        <v>26</v>
      </c>
      <c r="F156">
        <v>30</v>
      </c>
      <c r="G156">
        <v>9</v>
      </c>
      <c r="H156">
        <v>25</v>
      </c>
    </row>
    <row r="157" spans="1:8">
      <c r="A157" t="s">
        <v>85</v>
      </c>
      <c r="C157" t="s">
        <v>27</v>
      </c>
      <c r="E157">
        <v>31</v>
      </c>
      <c r="F157">
        <v>35</v>
      </c>
      <c r="G157">
        <v>10</v>
      </c>
      <c r="H157">
        <v>26</v>
      </c>
    </row>
    <row r="158" spans="1:8">
      <c r="A158" t="s">
        <v>85</v>
      </c>
      <c r="C158" t="s">
        <v>27</v>
      </c>
      <c r="E158">
        <v>36</v>
      </c>
      <c r="F158">
        <v>40</v>
      </c>
      <c r="G158">
        <v>5</v>
      </c>
      <c r="H158">
        <v>13</v>
      </c>
    </row>
    <row r="159" spans="1:8">
      <c r="A159" t="s">
        <v>85</v>
      </c>
      <c r="C159" t="s">
        <v>27</v>
      </c>
      <c r="E159">
        <v>41</v>
      </c>
      <c r="F159">
        <v>45</v>
      </c>
      <c r="G159">
        <v>2</v>
      </c>
      <c r="H159">
        <v>2</v>
      </c>
    </row>
    <row r="160" spans="1:8">
      <c r="A160" t="s">
        <v>86</v>
      </c>
      <c r="B160" t="s">
        <v>73</v>
      </c>
      <c r="C160" t="s">
        <v>24</v>
      </c>
      <c r="E160">
        <v>15</v>
      </c>
      <c r="F160">
        <v>19</v>
      </c>
      <c r="G160">
        <v>1</v>
      </c>
      <c r="H160">
        <v>5</v>
      </c>
    </row>
    <row r="161" spans="1:9">
      <c r="A161" t="s">
        <v>86</v>
      </c>
      <c r="B161" t="s">
        <v>73</v>
      </c>
      <c r="C161" t="s">
        <v>24</v>
      </c>
      <c r="E161">
        <v>20</v>
      </c>
      <c r="F161">
        <v>24</v>
      </c>
      <c r="G161">
        <v>17</v>
      </c>
      <c r="H161">
        <v>108</v>
      </c>
    </row>
    <row r="162" spans="1:9">
      <c r="A162" t="s">
        <v>86</v>
      </c>
      <c r="B162" t="s">
        <v>73</v>
      </c>
      <c r="C162" t="s">
        <v>24</v>
      </c>
      <c r="E162">
        <v>25</v>
      </c>
      <c r="F162">
        <v>29</v>
      </c>
      <c r="G162">
        <v>34</v>
      </c>
      <c r="H162">
        <v>176</v>
      </c>
    </row>
    <row r="163" spans="1:9">
      <c r="A163" t="s">
        <v>86</v>
      </c>
      <c r="B163" t="s">
        <v>73</v>
      </c>
      <c r="C163" t="s">
        <v>24</v>
      </c>
      <c r="E163">
        <v>30</v>
      </c>
      <c r="F163">
        <v>34</v>
      </c>
      <c r="G163">
        <v>8</v>
      </c>
      <c r="H163">
        <v>62</v>
      </c>
    </row>
    <row r="164" spans="1:9">
      <c r="A164" t="s">
        <v>86</v>
      </c>
      <c r="B164" t="s">
        <v>73</v>
      </c>
      <c r="C164" t="s">
        <v>24</v>
      </c>
      <c r="E164">
        <v>35</v>
      </c>
      <c r="F164">
        <v>39</v>
      </c>
      <c r="G164">
        <v>6</v>
      </c>
      <c r="H164">
        <v>26</v>
      </c>
    </row>
    <row r="165" spans="1:9">
      <c r="A165" t="s">
        <v>86</v>
      </c>
      <c r="B165" t="s">
        <v>73</v>
      </c>
      <c r="C165" t="s">
        <v>24</v>
      </c>
      <c r="E165">
        <v>40</v>
      </c>
      <c r="F165">
        <v>44</v>
      </c>
      <c r="G165">
        <v>5</v>
      </c>
      <c r="H165">
        <v>7</v>
      </c>
    </row>
    <row r="166" spans="1:9">
      <c r="A166" t="s">
        <v>87</v>
      </c>
      <c r="B166">
        <v>2014</v>
      </c>
      <c r="C166" t="s">
        <v>12</v>
      </c>
      <c r="E166">
        <v>18</v>
      </c>
      <c r="F166">
        <v>20</v>
      </c>
      <c r="G166" t="s">
        <v>17</v>
      </c>
      <c r="H166">
        <v>60</v>
      </c>
    </row>
    <row r="167" spans="1:9">
      <c r="A167" t="s">
        <v>87</v>
      </c>
      <c r="B167">
        <v>2014</v>
      </c>
      <c r="C167" t="s">
        <v>12</v>
      </c>
      <c r="E167">
        <v>21</v>
      </c>
      <c r="F167">
        <v>25</v>
      </c>
      <c r="G167" t="s">
        <v>17</v>
      </c>
      <c r="H167">
        <v>104</v>
      </c>
      <c r="I167" t="s">
        <v>58</v>
      </c>
    </row>
    <row r="168" spans="1:9">
      <c r="A168" t="s">
        <v>87</v>
      </c>
      <c r="B168">
        <v>2014</v>
      </c>
      <c r="C168" t="s">
        <v>12</v>
      </c>
      <c r="E168">
        <v>26</v>
      </c>
      <c r="F168">
        <v>30</v>
      </c>
      <c r="G168" t="s">
        <v>17</v>
      </c>
      <c r="H168">
        <v>92</v>
      </c>
    </row>
    <row r="169" spans="1:9">
      <c r="A169" t="s">
        <v>87</v>
      </c>
      <c r="B169">
        <v>2014</v>
      </c>
      <c r="C169" t="s">
        <v>12</v>
      </c>
      <c r="E169">
        <v>31</v>
      </c>
      <c r="F169">
        <v>40</v>
      </c>
      <c r="G169" t="s">
        <v>17</v>
      </c>
      <c r="H169">
        <v>104</v>
      </c>
    </row>
    <row r="170" spans="1:9">
      <c r="A170" t="s">
        <v>88</v>
      </c>
      <c r="B170" t="s">
        <v>89</v>
      </c>
      <c r="C170" t="s">
        <v>24</v>
      </c>
      <c r="E170">
        <v>15</v>
      </c>
      <c r="F170">
        <v>24</v>
      </c>
      <c r="G170">
        <v>34</v>
      </c>
      <c r="H170">
        <v>42</v>
      </c>
    </row>
    <row r="171" spans="1:9">
      <c r="A171" t="s">
        <v>88</v>
      </c>
      <c r="B171" t="s">
        <v>89</v>
      </c>
      <c r="C171" t="s">
        <v>24</v>
      </c>
      <c r="E171">
        <v>25</v>
      </c>
      <c r="F171">
        <v>34</v>
      </c>
      <c r="G171">
        <v>186</v>
      </c>
      <c r="H171">
        <v>218</v>
      </c>
    </row>
    <row r="172" spans="1:9">
      <c r="A172" t="s">
        <v>88</v>
      </c>
      <c r="B172" t="s">
        <v>89</v>
      </c>
      <c r="C172" t="s">
        <v>24</v>
      </c>
      <c r="E172">
        <v>35</v>
      </c>
      <c r="F172">
        <v>42</v>
      </c>
      <c r="G172">
        <v>26</v>
      </c>
      <c r="H172">
        <v>28</v>
      </c>
    </row>
    <row r="173" spans="1:9">
      <c r="A173" t="s">
        <v>90</v>
      </c>
      <c r="B173">
        <v>2013</v>
      </c>
      <c r="C173" t="s">
        <v>24</v>
      </c>
      <c r="E173">
        <v>16</v>
      </c>
      <c r="F173">
        <v>20</v>
      </c>
      <c r="G173">
        <v>16</v>
      </c>
      <c r="H173">
        <v>32</v>
      </c>
    </row>
    <row r="174" spans="1:9">
      <c r="A174" t="s">
        <v>90</v>
      </c>
      <c r="B174">
        <v>2013</v>
      </c>
      <c r="C174" t="s">
        <v>24</v>
      </c>
      <c r="E174">
        <v>21</v>
      </c>
      <c r="F174">
        <v>25</v>
      </c>
      <c r="G174">
        <v>25</v>
      </c>
      <c r="H174">
        <v>50</v>
      </c>
    </row>
    <row r="175" spans="1:9">
      <c r="A175" t="s">
        <v>90</v>
      </c>
      <c r="B175">
        <v>2013</v>
      </c>
      <c r="C175" t="s">
        <v>24</v>
      </c>
      <c r="E175">
        <v>26</v>
      </c>
      <c r="F175">
        <v>30</v>
      </c>
      <c r="G175">
        <v>41</v>
      </c>
      <c r="H175">
        <v>67</v>
      </c>
    </row>
    <row r="176" spans="1:9">
      <c r="A176" t="s">
        <v>90</v>
      </c>
      <c r="B176">
        <v>2013</v>
      </c>
      <c r="C176" t="s">
        <v>24</v>
      </c>
      <c r="E176">
        <v>31</v>
      </c>
      <c r="F176">
        <v>35</v>
      </c>
      <c r="G176">
        <v>54</v>
      </c>
      <c r="H176">
        <v>63</v>
      </c>
    </row>
    <row r="177" spans="1:8">
      <c r="A177" t="s">
        <v>90</v>
      </c>
      <c r="B177">
        <v>2013</v>
      </c>
      <c r="C177" t="s">
        <v>24</v>
      </c>
      <c r="E177">
        <v>36</v>
      </c>
      <c r="F177">
        <v>44</v>
      </c>
      <c r="G177">
        <v>44</v>
      </c>
      <c r="H177">
        <v>51</v>
      </c>
    </row>
    <row r="178" spans="1:8">
      <c r="A178" t="s">
        <v>91</v>
      </c>
      <c r="B178">
        <v>2014</v>
      </c>
      <c r="C178" t="s">
        <v>19</v>
      </c>
      <c r="E178" t="s">
        <v>17</v>
      </c>
      <c r="F178">
        <v>29</v>
      </c>
      <c r="G178">
        <v>34</v>
      </c>
      <c r="H178">
        <f>G178+31</f>
        <v>65</v>
      </c>
    </row>
    <row r="179" spans="1:8">
      <c r="A179" t="s">
        <v>91</v>
      </c>
      <c r="B179">
        <v>2014</v>
      </c>
      <c r="C179" t="s">
        <v>19</v>
      </c>
      <c r="E179">
        <v>30</v>
      </c>
      <c r="F179" t="s">
        <v>17</v>
      </c>
      <c r="G179">
        <v>26</v>
      </c>
      <c r="H179">
        <f>G179+53</f>
        <v>79</v>
      </c>
    </row>
    <row r="180" spans="1:8">
      <c r="A180" t="s">
        <v>92</v>
      </c>
      <c r="B180" t="s">
        <v>17</v>
      </c>
      <c r="C180" t="s">
        <v>93</v>
      </c>
      <c r="E180" t="s">
        <v>17</v>
      </c>
      <c r="F180" t="s">
        <v>17</v>
      </c>
      <c r="G180" t="s">
        <v>17</v>
      </c>
      <c r="H180" t="s">
        <v>17</v>
      </c>
    </row>
    <row r="181" spans="1:8">
      <c r="A181" t="s">
        <v>94</v>
      </c>
      <c r="B181" t="s">
        <v>89</v>
      </c>
      <c r="C181" t="s">
        <v>24</v>
      </c>
      <c r="E181" t="s">
        <v>17</v>
      </c>
      <c r="F181">
        <v>30</v>
      </c>
      <c r="G181">
        <v>293</v>
      </c>
      <c r="H181">
        <v>333</v>
      </c>
    </row>
    <row r="182" spans="1:8">
      <c r="A182" t="s">
        <v>94</v>
      </c>
      <c r="B182" t="s">
        <v>89</v>
      </c>
      <c r="C182" t="s">
        <v>24</v>
      </c>
      <c r="E182">
        <v>31</v>
      </c>
      <c r="F182" t="s">
        <v>17</v>
      </c>
      <c r="G182">
        <v>48</v>
      </c>
      <c r="H182">
        <v>52</v>
      </c>
    </row>
    <row r="183" spans="1:8">
      <c r="A183" t="s">
        <v>95</v>
      </c>
      <c r="B183">
        <v>2012</v>
      </c>
      <c r="C183" t="s">
        <v>76</v>
      </c>
      <c r="E183">
        <v>17</v>
      </c>
      <c r="F183">
        <v>19</v>
      </c>
      <c r="G183">
        <v>25</v>
      </c>
      <c r="H183">
        <v>59</v>
      </c>
    </row>
    <row r="184" spans="1:8">
      <c r="A184" t="s">
        <v>95</v>
      </c>
      <c r="B184">
        <v>2012</v>
      </c>
      <c r="C184" t="s">
        <v>76</v>
      </c>
      <c r="E184">
        <v>20</v>
      </c>
      <c r="F184">
        <v>25</v>
      </c>
      <c r="G184">
        <v>49</v>
      </c>
      <c r="H184">
        <v>141</v>
      </c>
    </row>
    <row r="185" spans="1:8">
      <c r="A185" t="s">
        <v>95</v>
      </c>
      <c r="B185">
        <v>2012</v>
      </c>
      <c r="C185" t="s">
        <v>76</v>
      </c>
      <c r="E185">
        <v>26</v>
      </c>
      <c r="F185">
        <v>47</v>
      </c>
      <c r="G185">
        <v>47</v>
      </c>
      <c r="H185">
        <v>148</v>
      </c>
    </row>
    <row r="186" spans="1:8">
      <c r="A186" t="s">
        <v>96</v>
      </c>
      <c r="B186">
        <v>2013</v>
      </c>
      <c r="C186" t="s">
        <v>57</v>
      </c>
      <c r="E186" t="s">
        <v>17</v>
      </c>
      <c r="F186">
        <v>20</v>
      </c>
      <c r="G186">
        <v>29</v>
      </c>
      <c r="H186" t="s">
        <v>17</v>
      </c>
    </row>
    <row r="187" spans="1:8">
      <c r="A187" t="s">
        <v>96</v>
      </c>
      <c r="B187">
        <v>2013</v>
      </c>
      <c r="C187" t="s">
        <v>57</v>
      </c>
      <c r="E187">
        <v>21</v>
      </c>
      <c r="F187">
        <v>29</v>
      </c>
      <c r="G187">
        <v>44</v>
      </c>
      <c r="H187" t="s">
        <v>17</v>
      </c>
    </row>
    <row r="188" spans="1:8">
      <c r="A188" t="s">
        <v>96</v>
      </c>
      <c r="B188">
        <v>2013</v>
      </c>
      <c r="C188" t="s">
        <v>57</v>
      </c>
      <c r="E188">
        <v>30</v>
      </c>
      <c r="F188">
        <v>39</v>
      </c>
      <c r="G188">
        <v>33</v>
      </c>
      <c r="H188" t="s">
        <v>17</v>
      </c>
    </row>
    <row r="189" spans="1:8">
      <c r="A189" t="s">
        <v>96</v>
      </c>
      <c r="B189">
        <v>2013</v>
      </c>
      <c r="C189" t="s">
        <v>57</v>
      </c>
      <c r="E189">
        <v>40</v>
      </c>
      <c r="F189">
        <v>49</v>
      </c>
      <c r="G189">
        <v>24</v>
      </c>
      <c r="H189" t="s">
        <v>17</v>
      </c>
    </row>
    <row r="190" spans="1:8">
      <c r="A190" t="s">
        <v>97</v>
      </c>
      <c r="B190" t="s">
        <v>17</v>
      </c>
      <c r="C190" t="s">
        <v>12</v>
      </c>
      <c r="E190">
        <v>15</v>
      </c>
      <c r="F190">
        <v>19</v>
      </c>
      <c r="G190">
        <v>4</v>
      </c>
      <c r="H190">
        <v>16</v>
      </c>
    </row>
    <row r="191" spans="1:8">
      <c r="A191" t="s">
        <v>97</v>
      </c>
      <c r="B191" t="s">
        <v>17</v>
      </c>
      <c r="C191" t="s">
        <v>12</v>
      </c>
      <c r="E191">
        <v>20</v>
      </c>
      <c r="F191">
        <v>24</v>
      </c>
      <c r="G191">
        <v>8</v>
      </c>
      <c r="H191">
        <v>45</v>
      </c>
    </row>
    <row r="192" spans="1:8">
      <c r="A192" t="s">
        <v>97</v>
      </c>
      <c r="B192" t="s">
        <v>17</v>
      </c>
      <c r="C192" t="s">
        <v>12</v>
      </c>
      <c r="E192">
        <v>25</v>
      </c>
      <c r="F192">
        <v>29</v>
      </c>
      <c r="G192">
        <v>3</v>
      </c>
      <c r="H192">
        <v>9</v>
      </c>
    </row>
    <row r="193" spans="1:9">
      <c r="A193" t="s">
        <v>97</v>
      </c>
      <c r="B193" t="s">
        <v>17</v>
      </c>
      <c r="C193" t="s">
        <v>12</v>
      </c>
      <c r="E193">
        <v>30</v>
      </c>
      <c r="F193">
        <v>34</v>
      </c>
      <c r="G193">
        <v>4</v>
      </c>
      <c r="H193">
        <v>17</v>
      </c>
    </row>
    <row r="194" spans="1:9">
      <c r="A194" t="s">
        <v>97</v>
      </c>
      <c r="B194" t="s">
        <v>17</v>
      </c>
      <c r="C194" t="s">
        <v>12</v>
      </c>
      <c r="E194">
        <v>35</v>
      </c>
      <c r="F194" t="s">
        <v>17</v>
      </c>
      <c r="G194">
        <v>1</v>
      </c>
      <c r="H194">
        <v>3</v>
      </c>
    </row>
    <row r="195" spans="1:9">
      <c r="A195" t="s">
        <v>98</v>
      </c>
      <c r="B195" t="s">
        <v>99</v>
      </c>
      <c r="C195" t="s">
        <v>19</v>
      </c>
      <c r="E195">
        <v>15</v>
      </c>
      <c r="F195">
        <v>24</v>
      </c>
      <c r="G195">
        <v>38</v>
      </c>
      <c r="H195">
        <v>174</v>
      </c>
    </row>
    <row r="196" spans="1:9">
      <c r="A196" t="s">
        <v>98</v>
      </c>
      <c r="B196" t="s">
        <v>99</v>
      </c>
      <c r="C196" t="s">
        <v>19</v>
      </c>
      <c r="E196">
        <v>25</v>
      </c>
      <c r="F196">
        <v>34</v>
      </c>
      <c r="G196">
        <v>61</v>
      </c>
      <c r="H196">
        <v>152</v>
      </c>
    </row>
    <row r="197" spans="1:9">
      <c r="A197" t="s">
        <v>98</v>
      </c>
      <c r="B197" t="s">
        <v>99</v>
      </c>
      <c r="C197" t="s">
        <v>19</v>
      </c>
      <c r="E197">
        <v>35</v>
      </c>
      <c r="F197">
        <v>44</v>
      </c>
      <c r="G197">
        <v>10</v>
      </c>
      <c r="H197">
        <v>24</v>
      </c>
    </row>
    <row r="198" spans="1:9">
      <c r="A198" t="s">
        <v>100</v>
      </c>
      <c r="B198" t="s">
        <v>89</v>
      </c>
      <c r="C198" t="s">
        <v>43</v>
      </c>
      <c r="E198">
        <v>19</v>
      </c>
      <c r="F198">
        <v>29</v>
      </c>
      <c r="G198">
        <v>134</v>
      </c>
      <c r="H198">
        <v>228</v>
      </c>
    </row>
    <row r="199" spans="1:9">
      <c r="A199" t="s">
        <v>100</v>
      </c>
      <c r="B199" t="s">
        <v>89</v>
      </c>
      <c r="C199" t="s">
        <v>43</v>
      </c>
      <c r="E199">
        <v>30</v>
      </c>
      <c r="F199">
        <v>39</v>
      </c>
      <c r="G199">
        <v>84</v>
      </c>
      <c r="H199">
        <v>95</v>
      </c>
    </row>
    <row r="200" spans="1:9">
      <c r="A200" t="s">
        <v>101</v>
      </c>
      <c r="B200">
        <v>2011</v>
      </c>
      <c r="C200" t="s">
        <v>24</v>
      </c>
      <c r="E200">
        <v>15</v>
      </c>
      <c r="F200">
        <v>19</v>
      </c>
      <c r="G200">
        <v>16</v>
      </c>
      <c r="H200">
        <v>25</v>
      </c>
    </row>
    <row r="201" spans="1:9">
      <c r="A201" t="s">
        <v>101</v>
      </c>
      <c r="B201">
        <v>2011</v>
      </c>
      <c r="C201" t="s">
        <v>24</v>
      </c>
      <c r="E201">
        <v>20</v>
      </c>
      <c r="F201">
        <v>24</v>
      </c>
      <c r="G201">
        <v>81</v>
      </c>
      <c r="H201">
        <v>97</v>
      </c>
    </row>
    <row r="202" spans="1:9">
      <c r="A202" t="s">
        <v>101</v>
      </c>
      <c r="B202">
        <v>2011</v>
      </c>
      <c r="C202" t="s">
        <v>24</v>
      </c>
      <c r="E202">
        <v>25</v>
      </c>
      <c r="F202">
        <v>29</v>
      </c>
      <c r="G202">
        <v>55</v>
      </c>
      <c r="H202">
        <v>62</v>
      </c>
    </row>
    <row r="203" spans="1:9">
      <c r="A203" t="s">
        <v>101</v>
      </c>
      <c r="B203">
        <v>2011</v>
      </c>
      <c r="C203" t="s">
        <v>24</v>
      </c>
      <c r="E203">
        <v>30</v>
      </c>
      <c r="F203">
        <v>35</v>
      </c>
      <c r="G203">
        <v>16</v>
      </c>
      <c r="H203">
        <v>17</v>
      </c>
    </row>
    <row r="204" spans="1:9">
      <c r="A204" t="s">
        <v>102</v>
      </c>
      <c r="B204" t="s">
        <v>103</v>
      </c>
      <c r="C204" t="s">
        <v>76</v>
      </c>
      <c r="E204">
        <v>18</v>
      </c>
      <c r="F204">
        <v>25</v>
      </c>
      <c r="G204" t="s">
        <v>17</v>
      </c>
      <c r="H204">
        <v>29</v>
      </c>
    </row>
    <row r="205" spans="1:9">
      <c r="A205" t="s">
        <v>102</v>
      </c>
      <c r="B205" t="s">
        <v>103</v>
      </c>
      <c r="C205" t="s">
        <v>76</v>
      </c>
      <c r="E205">
        <v>26</v>
      </c>
      <c r="F205">
        <v>35</v>
      </c>
      <c r="G205" t="s">
        <v>17</v>
      </c>
      <c r="H205">
        <v>109</v>
      </c>
      <c r="I205" t="s">
        <v>58</v>
      </c>
    </row>
    <row r="206" spans="1:9">
      <c r="A206" t="s">
        <v>102</v>
      </c>
      <c r="B206" t="s">
        <v>103</v>
      </c>
      <c r="C206" t="s">
        <v>76</v>
      </c>
      <c r="E206">
        <v>36</v>
      </c>
      <c r="F206">
        <v>50</v>
      </c>
      <c r="G206" t="s">
        <v>17</v>
      </c>
      <c r="H206">
        <v>44</v>
      </c>
    </row>
    <row r="207" spans="1:9">
      <c r="A207" t="s">
        <v>104</v>
      </c>
      <c r="B207" t="s">
        <v>105</v>
      </c>
      <c r="C207" t="s">
        <v>57</v>
      </c>
      <c r="E207">
        <v>15</v>
      </c>
      <c r="F207">
        <v>24</v>
      </c>
      <c r="G207">
        <v>9</v>
      </c>
      <c r="H207">
        <v>43</v>
      </c>
    </row>
    <row r="208" spans="1:9">
      <c r="A208" t="s">
        <v>104</v>
      </c>
      <c r="B208" t="s">
        <v>105</v>
      </c>
      <c r="C208" t="s">
        <v>57</v>
      </c>
      <c r="E208">
        <v>25</v>
      </c>
      <c r="F208">
        <v>34</v>
      </c>
      <c r="G208">
        <v>41</v>
      </c>
      <c r="H208">
        <v>168</v>
      </c>
    </row>
    <row r="209" spans="1:8">
      <c r="A209" t="s">
        <v>104</v>
      </c>
      <c r="B209" t="s">
        <v>105</v>
      </c>
      <c r="C209" t="s">
        <v>57</v>
      </c>
      <c r="E209">
        <v>35</v>
      </c>
      <c r="F209">
        <v>39</v>
      </c>
      <c r="G209">
        <v>2</v>
      </c>
      <c r="H209">
        <v>13</v>
      </c>
    </row>
    <row r="210" spans="1:8">
      <c r="A210" t="s">
        <v>104</v>
      </c>
      <c r="B210" t="s">
        <v>105</v>
      </c>
      <c r="C210" t="s">
        <v>57</v>
      </c>
      <c r="E210">
        <v>40</v>
      </c>
      <c r="F210">
        <v>49</v>
      </c>
      <c r="G210">
        <v>1</v>
      </c>
      <c r="H210">
        <v>10</v>
      </c>
    </row>
    <row r="211" spans="1:8">
      <c r="A211" t="s">
        <v>106</v>
      </c>
      <c r="B211">
        <v>2008</v>
      </c>
      <c r="C211" t="s">
        <v>41</v>
      </c>
      <c r="E211">
        <v>10</v>
      </c>
      <c r="F211">
        <v>19</v>
      </c>
      <c r="G211">
        <v>5</v>
      </c>
      <c r="H211">
        <v>8</v>
      </c>
    </row>
    <row r="212" spans="1:8">
      <c r="A212" t="s">
        <v>106</v>
      </c>
      <c r="B212">
        <v>2008</v>
      </c>
      <c r="C212" t="s">
        <v>41</v>
      </c>
      <c r="E212">
        <v>20</v>
      </c>
      <c r="F212">
        <v>29</v>
      </c>
      <c r="G212">
        <v>40</v>
      </c>
      <c r="H212">
        <v>59</v>
      </c>
    </row>
    <row r="213" spans="1:8">
      <c r="A213" t="s">
        <v>106</v>
      </c>
      <c r="B213">
        <v>2008</v>
      </c>
      <c r="C213" t="s">
        <v>41</v>
      </c>
      <c r="E213">
        <v>30</v>
      </c>
      <c r="F213">
        <v>39</v>
      </c>
      <c r="G213">
        <v>25</v>
      </c>
      <c r="H213">
        <v>40</v>
      </c>
    </row>
    <row r="214" spans="1:8">
      <c r="A214" t="s">
        <v>106</v>
      </c>
      <c r="B214">
        <v>2008</v>
      </c>
      <c r="C214" t="s">
        <v>41</v>
      </c>
      <c r="E214">
        <v>40</v>
      </c>
      <c r="F214">
        <v>41</v>
      </c>
      <c r="G214">
        <v>2</v>
      </c>
      <c r="H214">
        <v>3</v>
      </c>
    </row>
    <row r="215" spans="1:8">
      <c r="A215" t="s">
        <v>107</v>
      </c>
      <c r="B215" t="s">
        <v>17</v>
      </c>
      <c r="C215" t="s">
        <v>108</v>
      </c>
      <c r="E215" t="s">
        <v>17</v>
      </c>
      <c r="F215" t="s">
        <v>17</v>
      </c>
      <c r="G215" t="s">
        <v>17</v>
      </c>
      <c r="H215" t="s">
        <v>17</v>
      </c>
    </row>
    <row r="216" spans="1:8">
      <c r="A216" t="s">
        <v>109</v>
      </c>
      <c r="B216">
        <v>2011</v>
      </c>
      <c r="C216" t="s">
        <v>15</v>
      </c>
      <c r="E216">
        <v>15</v>
      </c>
      <c r="F216">
        <v>41</v>
      </c>
      <c r="G216">
        <v>85</v>
      </c>
      <c r="H216">
        <v>283</v>
      </c>
    </row>
    <row r="217" spans="1:8">
      <c r="A217" t="s">
        <v>110</v>
      </c>
      <c r="B217">
        <v>2014</v>
      </c>
      <c r="C217" t="s">
        <v>111</v>
      </c>
      <c r="E217">
        <v>14</v>
      </c>
      <c r="F217">
        <v>23</v>
      </c>
      <c r="G217">
        <v>89</v>
      </c>
      <c r="H217">
        <v>158</v>
      </c>
    </row>
    <row r="218" spans="1:8">
      <c r="A218" t="s">
        <v>110</v>
      </c>
      <c r="B218">
        <v>2014</v>
      </c>
      <c r="C218" t="s">
        <v>111</v>
      </c>
      <c r="E218">
        <v>24</v>
      </c>
      <c r="F218">
        <v>33</v>
      </c>
      <c r="G218">
        <v>108</v>
      </c>
      <c r="H218">
        <v>190</v>
      </c>
    </row>
    <row r="219" spans="1:8">
      <c r="A219" t="s">
        <v>110</v>
      </c>
      <c r="B219">
        <v>2014</v>
      </c>
      <c r="C219" t="s">
        <v>111</v>
      </c>
      <c r="E219">
        <v>34</v>
      </c>
      <c r="F219">
        <v>43</v>
      </c>
      <c r="G219">
        <v>29</v>
      </c>
      <c r="H219">
        <v>37</v>
      </c>
    </row>
    <row r="220" spans="1:8">
      <c r="A220" t="s">
        <v>112</v>
      </c>
      <c r="B220" t="s">
        <v>113</v>
      </c>
      <c r="C220" t="s">
        <v>111</v>
      </c>
      <c r="E220">
        <v>14</v>
      </c>
      <c r="F220">
        <v>25</v>
      </c>
      <c r="G220">
        <v>237</v>
      </c>
      <c r="H220">
        <v>482</v>
      </c>
    </row>
    <row r="221" spans="1:8">
      <c r="A221" t="s">
        <v>112</v>
      </c>
      <c r="B221" t="s">
        <v>113</v>
      </c>
      <c r="C221" t="s">
        <v>111</v>
      </c>
      <c r="E221">
        <v>25</v>
      </c>
      <c r="F221">
        <v>47</v>
      </c>
      <c r="G221">
        <v>342</v>
      </c>
      <c r="H221">
        <v>543</v>
      </c>
    </row>
    <row r="222" spans="1:8">
      <c r="A222" t="s">
        <v>114</v>
      </c>
      <c r="B222" t="s">
        <v>115</v>
      </c>
      <c r="C222" t="s">
        <v>76</v>
      </c>
      <c r="E222">
        <v>18</v>
      </c>
      <c r="F222">
        <v>24</v>
      </c>
      <c r="G222">
        <v>13</v>
      </c>
      <c r="H222">
        <v>80</v>
      </c>
    </row>
    <row r="223" spans="1:8">
      <c r="A223" t="s">
        <v>114</v>
      </c>
      <c r="B223" t="s">
        <v>115</v>
      </c>
      <c r="C223" t="s">
        <v>76</v>
      </c>
      <c r="E223">
        <v>25</v>
      </c>
      <c r="F223">
        <v>29</v>
      </c>
      <c r="G223">
        <v>21</v>
      </c>
      <c r="H223">
        <v>114</v>
      </c>
    </row>
    <row r="224" spans="1:8">
      <c r="A224" t="s">
        <v>114</v>
      </c>
      <c r="B224" t="s">
        <v>115</v>
      </c>
      <c r="C224" t="s">
        <v>76</v>
      </c>
      <c r="E224">
        <v>30</v>
      </c>
      <c r="F224">
        <v>34</v>
      </c>
      <c r="G224">
        <v>24</v>
      </c>
      <c r="H224">
        <v>87</v>
      </c>
    </row>
    <row r="225" spans="1:8">
      <c r="A225" t="s">
        <v>114</v>
      </c>
      <c r="B225" t="s">
        <v>115</v>
      </c>
      <c r="C225" t="s">
        <v>76</v>
      </c>
      <c r="E225">
        <v>35</v>
      </c>
      <c r="F225">
        <v>45</v>
      </c>
      <c r="G225">
        <v>27</v>
      </c>
      <c r="H225">
        <v>55</v>
      </c>
    </row>
    <row r="226" spans="1:8">
      <c r="A226" t="s">
        <v>116</v>
      </c>
      <c r="B226">
        <v>2006</v>
      </c>
      <c r="C226" t="s">
        <v>27</v>
      </c>
      <c r="E226">
        <v>15</v>
      </c>
      <c r="F226">
        <v>20</v>
      </c>
    </row>
    <row r="227" spans="1:8">
      <c r="A227" t="s">
        <v>116</v>
      </c>
      <c r="B227">
        <v>2006</v>
      </c>
      <c r="C227" t="s">
        <v>27</v>
      </c>
      <c r="E227">
        <v>21</v>
      </c>
      <c r="F227">
        <v>25</v>
      </c>
    </row>
    <row r="228" spans="1:8">
      <c r="A228" t="s">
        <v>116</v>
      </c>
      <c r="B228">
        <v>2006</v>
      </c>
      <c r="C228" t="s">
        <v>27</v>
      </c>
      <c r="E228">
        <v>26</v>
      </c>
      <c r="F228">
        <v>30</v>
      </c>
    </row>
    <row r="229" spans="1:8">
      <c r="A229" t="s">
        <v>116</v>
      </c>
      <c r="B229">
        <v>2006</v>
      </c>
      <c r="C229" t="s">
        <v>27</v>
      </c>
      <c r="E229">
        <v>31</v>
      </c>
      <c r="F229">
        <v>35</v>
      </c>
      <c r="H229" s="3"/>
    </row>
    <row r="230" spans="1:8">
      <c r="A230" t="s">
        <v>116</v>
      </c>
      <c r="B230">
        <v>2006</v>
      </c>
      <c r="C230" t="s">
        <v>27</v>
      </c>
      <c r="E230">
        <v>36</v>
      </c>
      <c r="F230">
        <v>40</v>
      </c>
    </row>
    <row r="231" spans="1:8">
      <c r="A231" t="s">
        <v>117</v>
      </c>
      <c r="B231" t="s">
        <v>17</v>
      </c>
      <c r="C231" t="s">
        <v>12</v>
      </c>
      <c r="E231">
        <v>15</v>
      </c>
      <c r="F231">
        <v>18</v>
      </c>
      <c r="G231">
        <v>18</v>
      </c>
      <c r="H231">
        <v>72</v>
      </c>
    </row>
    <row r="232" spans="1:8">
      <c r="A232" t="s">
        <v>117</v>
      </c>
      <c r="B232" t="s">
        <v>17</v>
      </c>
      <c r="C232" t="s">
        <v>12</v>
      </c>
      <c r="E232">
        <v>19</v>
      </c>
      <c r="F232">
        <v>22</v>
      </c>
      <c r="G232">
        <v>28</v>
      </c>
      <c r="H232">
        <v>83</v>
      </c>
    </row>
    <row r="233" spans="1:8">
      <c r="A233" t="s">
        <v>117</v>
      </c>
      <c r="B233" t="s">
        <v>17</v>
      </c>
      <c r="C233" t="s">
        <v>12</v>
      </c>
      <c r="E233">
        <v>23</v>
      </c>
      <c r="F233">
        <v>26</v>
      </c>
      <c r="G233">
        <v>45</v>
      </c>
      <c r="H233">
        <v>117</v>
      </c>
    </row>
    <row r="234" spans="1:8">
      <c r="A234" t="s">
        <v>117</v>
      </c>
      <c r="B234" t="s">
        <v>17</v>
      </c>
      <c r="C234" t="s">
        <v>12</v>
      </c>
      <c r="E234">
        <v>27</v>
      </c>
      <c r="F234">
        <v>30</v>
      </c>
      <c r="G234">
        <v>50</v>
      </c>
      <c r="H234">
        <v>120</v>
      </c>
    </row>
    <row r="235" spans="1:8">
      <c r="A235" t="s">
        <v>117</v>
      </c>
      <c r="B235" t="s">
        <v>17</v>
      </c>
      <c r="C235" t="s">
        <v>12</v>
      </c>
      <c r="E235">
        <v>31</v>
      </c>
      <c r="F235">
        <v>34</v>
      </c>
      <c r="G235">
        <v>43</v>
      </c>
      <c r="H235">
        <v>92</v>
      </c>
    </row>
    <row r="236" spans="1:8">
      <c r="A236" t="s">
        <v>117</v>
      </c>
      <c r="B236" t="s">
        <v>17</v>
      </c>
      <c r="C236" t="s">
        <v>12</v>
      </c>
      <c r="E236">
        <v>35</v>
      </c>
      <c r="F236">
        <v>38</v>
      </c>
      <c r="G236">
        <v>45</v>
      </c>
      <c r="H236">
        <v>80</v>
      </c>
    </row>
    <row r="237" spans="1:8">
      <c r="A237" t="s">
        <v>117</v>
      </c>
      <c r="B237" t="s">
        <v>17</v>
      </c>
      <c r="C237" t="s">
        <v>12</v>
      </c>
      <c r="E237">
        <v>39</v>
      </c>
      <c r="F237">
        <v>42</v>
      </c>
      <c r="G237">
        <v>30</v>
      </c>
      <c r="H237">
        <v>42</v>
      </c>
    </row>
    <row r="238" spans="1:8">
      <c r="A238" t="s">
        <v>118</v>
      </c>
      <c r="B238">
        <v>1993</v>
      </c>
      <c r="C238" t="s">
        <v>15</v>
      </c>
      <c r="E238">
        <v>15</v>
      </c>
      <c r="F238">
        <v>19</v>
      </c>
      <c r="G238">
        <v>1</v>
      </c>
      <c r="H238">
        <v>5</v>
      </c>
    </row>
    <row r="239" spans="1:8">
      <c r="A239" t="s">
        <v>118</v>
      </c>
      <c r="B239">
        <v>1993</v>
      </c>
      <c r="C239" t="s">
        <v>15</v>
      </c>
      <c r="E239">
        <v>20</v>
      </c>
      <c r="F239">
        <v>29</v>
      </c>
      <c r="G239">
        <v>52</v>
      </c>
      <c r="H239">
        <v>108</v>
      </c>
    </row>
    <row r="240" spans="1:8">
      <c r="A240" t="s">
        <v>118</v>
      </c>
      <c r="B240">
        <v>1993</v>
      </c>
      <c r="C240" t="s">
        <v>15</v>
      </c>
      <c r="E240">
        <v>30</v>
      </c>
      <c r="F240">
        <v>39</v>
      </c>
      <c r="G240">
        <v>56</v>
      </c>
      <c r="H240">
        <v>92</v>
      </c>
    </row>
    <row r="241" spans="1:8">
      <c r="A241" t="s">
        <v>118</v>
      </c>
      <c r="B241">
        <v>1993</v>
      </c>
      <c r="C241" t="s">
        <v>15</v>
      </c>
      <c r="E241">
        <v>40</v>
      </c>
      <c r="F241">
        <v>41</v>
      </c>
      <c r="G241">
        <v>4</v>
      </c>
      <c r="H241">
        <v>6</v>
      </c>
    </row>
    <row r="242" spans="1:8">
      <c r="A242" t="s">
        <v>119</v>
      </c>
      <c r="B242">
        <v>2014</v>
      </c>
      <c r="C242" t="s">
        <v>12</v>
      </c>
      <c r="E242">
        <v>11</v>
      </c>
      <c r="F242">
        <v>20</v>
      </c>
      <c r="G242">
        <v>5</v>
      </c>
      <c r="H242">
        <v>10</v>
      </c>
    </row>
    <row r="243" spans="1:8">
      <c r="A243" t="s">
        <v>119</v>
      </c>
      <c r="B243">
        <v>2014</v>
      </c>
      <c r="C243" t="s">
        <v>12</v>
      </c>
      <c r="E243">
        <v>21</v>
      </c>
      <c r="F243">
        <v>30</v>
      </c>
      <c r="G243">
        <v>49</v>
      </c>
      <c r="H243">
        <v>165</v>
      </c>
    </row>
    <row r="244" spans="1:8">
      <c r="A244" t="s">
        <v>119</v>
      </c>
      <c r="B244">
        <v>2014</v>
      </c>
      <c r="C244" t="s">
        <v>12</v>
      </c>
      <c r="E244">
        <v>31</v>
      </c>
      <c r="F244">
        <v>40</v>
      </c>
      <c r="G244">
        <v>39</v>
      </c>
      <c r="H244">
        <v>98</v>
      </c>
    </row>
    <row r="245" spans="1:8">
      <c r="A245" t="s">
        <v>120</v>
      </c>
      <c r="B245" t="s">
        <v>37</v>
      </c>
      <c r="C245" t="s">
        <v>12</v>
      </c>
      <c r="E245">
        <v>18</v>
      </c>
      <c r="F245">
        <v>25</v>
      </c>
      <c r="G245">
        <v>22</v>
      </c>
      <c r="H245">
        <v>43</v>
      </c>
    </row>
    <row r="246" spans="1:8">
      <c r="A246" t="s">
        <v>120</v>
      </c>
      <c r="B246" t="s">
        <v>37</v>
      </c>
      <c r="C246" t="s">
        <v>12</v>
      </c>
      <c r="E246">
        <v>26</v>
      </c>
      <c r="F246">
        <v>35</v>
      </c>
      <c r="G246">
        <v>36</v>
      </c>
      <c r="H246">
        <v>63</v>
      </c>
    </row>
    <row r="247" spans="1:8">
      <c r="A247" t="s">
        <v>120</v>
      </c>
      <c r="B247" t="s">
        <v>37</v>
      </c>
      <c r="C247" t="s">
        <v>12</v>
      </c>
      <c r="E247">
        <v>36</v>
      </c>
      <c r="F247">
        <v>45</v>
      </c>
      <c r="G247">
        <v>72</v>
      </c>
      <c r="H247">
        <v>94</v>
      </c>
    </row>
    <row r="248" spans="1:8">
      <c r="A248" t="s">
        <v>120</v>
      </c>
      <c r="B248" t="s">
        <v>37</v>
      </c>
      <c r="C248" t="s">
        <v>12</v>
      </c>
      <c r="E248">
        <v>46</v>
      </c>
      <c r="F248" t="s">
        <v>17</v>
      </c>
      <c r="G248">
        <v>59</v>
      </c>
      <c r="H248">
        <v>82</v>
      </c>
    </row>
    <row r="249" spans="1:8">
      <c r="A249" t="s">
        <v>121</v>
      </c>
      <c r="B249" t="s">
        <v>17</v>
      </c>
      <c r="C249" t="s">
        <v>12</v>
      </c>
      <c r="E249">
        <v>17</v>
      </c>
      <c r="F249">
        <v>20</v>
      </c>
      <c r="G249">
        <v>3</v>
      </c>
      <c r="H249">
        <v>79</v>
      </c>
    </row>
    <row r="250" spans="1:8">
      <c r="A250" t="s">
        <v>121</v>
      </c>
      <c r="B250" t="s">
        <v>17</v>
      </c>
      <c r="C250" t="s">
        <v>12</v>
      </c>
      <c r="E250">
        <v>21</v>
      </c>
      <c r="F250">
        <v>24</v>
      </c>
      <c r="G250">
        <v>6</v>
      </c>
      <c r="H250">
        <v>81</v>
      </c>
    </row>
    <row r="251" spans="1:8">
      <c r="A251" t="s">
        <v>121</v>
      </c>
      <c r="B251" t="s">
        <v>17</v>
      </c>
      <c r="C251" t="s">
        <v>12</v>
      </c>
      <c r="E251">
        <v>25</v>
      </c>
      <c r="F251">
        <v>28</v>
      </c>
      <c r="G251">
        <v>9</v>
      </c>
      <c r="H251">
        <v>75</v>
      </c>
    </row>
    <row r="252" spans="1:8">
      <c r="A252" t="s">
        <v>121</v>
      </c>
      <c r="B252" t="s">
        <v>17</v>
      </c>
      <c r="C252" t="s">
        <v>12</v>
      </c>
      <c r="E252">
        <v>29</v>
      </c>
      <c r="F252">
        <v>32</v>
      </c>
      <c r="G252">
        <v>2</v>
      </c>
      <c r="H252">
        <v>45</v>
      </c>
    </row>
    <row r="253" spans="1:8">
      <c r="A253" t="s">
        <v>121</v>
      </c>
      <c r="B253" t="s">
        <v>17</v>
      </c>
      <c r="C253" t="s">
        <v>12</v>
      </c>
      <c r="E253">
        <v>33</v>
      </c>
      <c r="F253">
        <v>36</v>
      </c>
      <c r="G253">
        <v>4</v>
      </c>
      <c r="H253">
        <v>31</v>
      </c>
    </row>
    <row r="254" spans="1:8">
      <c r="A254" t="s">
        <v>121</v>
      </c>
      <c r="B254" t="s">
        <v>17</v>
      </c>
      <c r="C254" t="s">
        <v>12</v>
      </c>
      <c r="E254">
        <v>37</v>
      </c>
      <c r="F254">
        <v>40</v>
      </c>
      <c r="G254">
        <v>0</v>
      </c>
      <c r="H254">
        <v>9</v>
      </c>
    </row>
    <row r="255" spans="1:8">
      <c r="A255" t="s">
        <v>122</v>
      </c>
      <c r="B255">
        <v>2016</v>
      </c>
      <c r="C255" t="s">
        <v>12</v>
      </c>
      <c r="E255">
        <v>20</v>
      </c>
      <c r="F255">
        <v>24</v>
      </c>
      <c r="G255">
        <v>7</v>
      </c>
      <c r="H255">
        <v>21</v>
      </c>
    </row>
    <row r="256" spans="1:8">
      <c r="A256" t="s">
        <v>122</v>
      </c>
      <c r="B256">
        <v>2017</v>
      </c>
      <c r="C256" t="s">
        <v>12</v>
      </c>
      <c r="E256">
        <v>25</v>
      </c>
      <c r="F256">
        <v>29</v>
      </c>
      <c r="G256">
        <v>22</v>
      </c>
      <c r="H256">
        <v>69</v>
      </c>
    </row>
    <row r="257" spans="1:8">
      <c r="A257" t="s">
        <v>122</v>
      </c>
      <c r="B257">
        <v>2018</v>
      </c>
      <c r="C257" t="s">
        <v>12</v>
      </c>
      <c r="E257">
        <v>30</v>
      </c>
      <c r="F257">
        <v>34</v>
      </c>
      <c r="G257">
        <v>18</v>
      </c>
      <c r="H257">
        <v>75</v>
      </c>
    </row>
    <row r="258" spans="1:8">
      <c r="A258" t="s">
        <v>122</v>
      </c>
      <c r="B258">
        <v>2019</v>
      </c>
      <c r="C258" t="s">
        <v>12</v>
      </c>
      <c r="E258">
        <v>35</v>
      </c>
      <c r="F258">
        <v>40</v>
      </c>
      <c r="G258">
        <v>9</v>
      </c>
      <c r="H258">
        <v>41</v>
      </c>
    </row>
    <row r="259" spans="1:8">
      <c r="A259" t="s">
        <v>122</v>
      </c>
      <c r="B259">
        <v>2020</v>
      </c>
      <c r="C259" t="s">
        <v>12</v>
      </c>
      <c r="E259">
        <v>41</v>
      </c>
      <c r="F259" t="s">
        <v>17</v>
      </c>
      <c r="G259">
        <v>2</v>
      </c>
      <c r="H259">
        <v>7</v>
      </c>
    </row>
    <row r="260" spans="1:8">
      <c r="A260" t="s">
        <v>123</v>
      </c>
      <c r="B260">
        <v>2009</v>
      </c>
      <c r="C260" t="s">
        <v>41</v>
      </c>
      <c r="E260">
        <v>20</v>
      </c>
      <c r="F260">
        <v>25</v>
      </c>
      <c r="G260">
        <v>16</v>
      </c>
      <c r="H260">
        <v>27</v>
      </c>
    </row>
    <row r="261" spans="1:8">
      <c r="A261" t="s">
        <v>123</v>
      </c>
      <c r="B261">
        <v>2009</v>
      </c>
      <c r="C261" t="s">
        <v>41</v>
      </c>
      <c r="E261">
        <v>26</v>
      </c>
      <c r="F261">
        <v>30</v>
      </c>
      <c r="G261">
        <v>21</v>
      </c>
      <c r="H261">
        <v>30</v>
      </c>
    </row>
    <row r="262" spans="1:8">
      <c r="A262" t="s">
        <v>123</v>
      </c>
      <c r="B262">
        <v>2009</v>
      </c>
      <c r="C262" t="s">
        <v>41</v>
      </c>
      <c r="E262">
        <v>31</v>
      </c>
      <c r="F262">
        <v>35</v>
      </c>
      <c r="G262">
        <v>24</v>
      </c>
      <c r="H262">
        <v>34</v>
      </c>
    </row>
    <row r="263" spans="1:8">
      <c r="A263" t="s">
        <v>123</v>
      </c>
      <c r="B263">
        <v>2009</v>
      </c>
      <c r="C263" t="s">
        <v>41</v>
      </c>
      <c r="E263">
        <v>36</v>
      </c>
      <c r="F263">
        <v>44</v>
      </c>
      <c r="G263">
        <v>16</v>
      </c>
      <c r="H263">
        <v>19</v>
      </c>
    </row>
    <row r="264" spans="1:8">
      <c r="A264" t="s">
        <v>124</v>
      </c>
      <c r="B264">
        <v>2017</v>
      </c>
      <c r="C264" t="s">
        <v>41</v>
      </c>
      <c r="E264">
        <v>14</v>
      </c>
      <c r="F264">
        <v>21</v>
      </c>
      <c r="G264">
        <v>13</v>
      </c>
      <c r="H264">
        <v>53</v>
      </c>
    </row>
    <row r="265" spans="1:8">
      <c r="A265" t="s">
        <v>124</v>
      </c>
      <c r="B265">
        <v>2017</v>
      </c>
      <c r="C265" t="s">
        <v>41</v>
      </c>
      <c r="E265">
        <v>21</v>
      </c>
      <c r="F265">
        <v>30</v>
      </c>
      <c r="G265">
        <v>94</v>
      </c>
      <c r="H265">
        <f>94+303</f>
        <v>397</v>
      </c>
    </row>
    <row r="266" spans="1:8">
      <c r="A266" t="s">
        <v>124</v>
      </c>
      <c r="B266">
        <v>2017</v>
      </c>
      <c r="C266" t="s">
        <v>41</v>
      </c>
      <c r="E266">
        <v>31</v>
      </c>
      <c r="F266">
        <v>45</v>
      </c>
      <c r="G266">
        <v>32</v>
      </c>
      <c r="H266">
        <f>32+124</f>
        <v>156</v>
      </c>
    </row>
    <row r="267" spans="1:8">
      <c r="A267" t="s">
        <v>125</v>
      </c>
      <c r="B267" t="s">
        <v>17</v>
      </c>
      <c r="C267" t="s">
        <v>12</v>
      </c>
      <c r="E267">
        <v>10</v>
      </c>
      <c r="F267">
        <v>19</v>
      </c>
      <c r="G267">
        <v>1</v>
      </c>
      <c r="H267">
        <v>4</v>
      </c>
    </row>
    <row r="268" spans="1:8">
      <c r="A268" t="s">
        <v>125</v>
      </c>
      <c r="B268" t="s">
        <v>17</v>
      </c>
      <c r="C268" t="s">
        <v>12</v>
      </c>
      <c r="E268">
        <v>20</v>
      </c>
      <c r="F268">
        <v>29</v>
      </c>
      <c r="G268">
        <v>5</v>
      </c>
      <c r="H268">
        <v>25</v>
      </c>
    </row>
    <row r="269" spans="1:8">
      <c r="A269" t="s">
        <v>125</v>
      </c>
      <c r="B269" t="s">
        <v>17</v>
      </c>
      <c r="C269" t="s">
        <v>12</v>
      </c>
      <c r="E269">
        <v>30</v>
      </c>
      <c r="F269">
        <v>39</v>
      </c>
      <c r="G269">
        <v>13</v>
      </c>
      <c r="H269">
        <v>43</v>
      </c>
    </row>
    <row r="270" spans="1:8">
      <c r="A270" t="s">
        <v>125</v>
      </c>
      <c r="B270" t="s">
        <v>17</v>
      </c>
      <c r="C270" t="s">
        <v>12</v>
      </c>
      <c r="E270">
        <v>40</v>
      </c>
      <c r="F270">
        <v>49</v>
      </c>
      <c r="G270">
        <v>2</v>
      </c>
      <c r="H270">
        <v>9</v>
      </c>
    </row>
    <row r="271" spans="1:8">
      <c r="A271" t="s">
        <v>125</v>
      </c>
      <c r="B271" t="s">
        <v>17</v>
      </c>
      <c r="C271" t="s">
        <v>12</v>
      </c>
      <c r="E271">
        <v>50</v>
      </c>
      <c r="F271">
        <v>59</v>
      </c>
      <c r="G271">
        <v>1</v>
      </c>
      <c r="H271">
        <v>3</v>
      </c>
    </row>
    <row r="272" spans="1:8">
      <c r="A272" t="s">
        <v>126</v>
      </c>
      <c r="B272" t="s">
        <v>17</v>
      </c>
      <c r="C272" t="s">
        <v>12</v>
      </c>
      <c r="E272">
        <v>16</v>
      </c>
      <c r="F272">
        <v>26</v>
      </c>
      <c r="G272">
        <v>19</v>
      </c>
      <c r="H272">
        <v>46</v>
      </c>
    </row>
    <row r="273" spans="1:8">
      <c r="A273" t="s">
        <v>126</v>
      </c>
      <c r="B273" t="s">
        <v>17</v>
      </c>
      <c r="C273" t="s">
        <v>12</v>
      </c>
      <c r="E273">
        <v>27</v>
      </c>
      <c r="F273">
        <v>36</v>
      </c>
      <c r="G273">
        <v>59</v>
      </c>
      <c r="H273">
        <v>122</v>
      </c>
    </row>
    <row r="274" spans="1:8">
      <c r="A274" t="s">
        <v>126</v>
      </c>
      <c r="B274" t="s">
        <v>17</v>
      </c>
      <c r="C274" t="s">
        <v>12</v>
      </c>
      <c r="E274">
        <v>37</v>
      </c>
      <c r="F274">
        <v>46</v>
      </c>
      <c r="G274">
        <v>102</v>
      </c>
      <c r="H274">
        <v>140</v>
      </c>
    </row>
    <row r="275" spans="1:8">
      <c r="A275" t="s">
        <v>126</v>
      </c>
      <c r="B275" t="s">
        <v>17</v>
      </c>
      <c r="C275" t="s">
        <v>12</v>
      </c>
      <c r="E275">
        <v>47</v>
      </c>
      <c r="F275" t="s">
        <v>17</v>
      </c>
      <c r="G275">
        <v>26</v>
      </c>
      <c r="H275">
        <v>72</v>
      </c>
    </row>
    <row r="276" spans="1:8">
      <c r="A276" t="s">
        <v>127</v>
      </c>
      <c r="B276">
        <v>2010</v>
      </c>
      <c r="C276" t="s">
        <v>41</v>
      </c>
      <c r="E276">
        <v>16</v>
      </c>
      <c r="F276">
        <v>20</v>
      </c>
      <c r="G276">
        <v>1</v>
      </c>
      <c r="H276">
        <v>5</v>
      </c>
    </row>
    <row r="277" spans="1:8">
      <c r="A277" t="s">
        <v>127</v>
      </c>
      <c r="B277">
        <v>2010</v>
      </c>
      <c r="C277" t="s">
        <v>41</v>
      </c>
      <c r="E277">
        <v>21</v>
      </c>
      <c r="F277">
        <v>25</v>
      </c>
      <c r="G277">
        <v>23</v>
      </c>
      <c r="H277">
        <v>37</v>
      </c>
    </row>
    <row r="278" spans="1:8">
      <c r="A278" t="s">
        <v>127</v>
      </c>
      <c r="B278">
        <v>2010</v>
      </c>
      <c r="C278" t="s">
        <v>41</v>
      </c>
      <c r="E278">
        <v>26</v>
      </c>
      <c r="F278">
        <v>30</v>
      </c>
      <c r="G278">
        <v>32</v>
      </c>
      <c r="H278">
        <v>39</v>
      </c>
    </row>
    <row r="279" spans="1:8">
      <c r="A279" t="s">
        <v>127</v>
      </c>
      <c r="B279">
        <v>2010</v>
      </c>
      <c r="C279" t="s">
        <v>41</v>
      </c>
      <c r="E279">
        <v>31</v>
      </c>
      <c r="F279">
        <v>35</v>
      </c>
      <c r="G279">
        <v>17</v>
      </c>
      <c r="H279">
        <v>23</v>
      </c>
    </row>
    <row r="280" spans="1:8">
      <c r="A280" t="s">
        <v>127</v>
      </c>
      <c r="B280">
        <v>2010</v>
      </c>
      <c r="C280" t="s">
        <v>41</v>
      </c>
      <c r="E280">
        <v>36</v>
      </c>
      <c r="F280">
        <v>40</v>
      </c>
      <c r="G280">
        <v>13</v>
      </c>
      <c r="H280">
        <v>15</v>
      </c>
    </row>
    <row r="281" spans="1:8">
      <c r="A281" t="s">
        <v>127</v>
      </c>
      <c r="B281">
        <v>2010</v>
      </c>
      <c r="C281" t="s">
        <v>41</v>
      </c>
      <c r="E281">
        <v>41</v>
      </c>
      <c r="F281">
        <v>45</v>
      </c>
      <c r="G281">
        <v>5</v>
      </c>
      <c r="H281">
        <v>8</v>
      </c>
    </row>
    <row r="282" spans="1:8">
      <c r="A282" t="s">
        <v>127</v>
      </c>
      <c r="B282">
        <v>2010</v>
      </c>
      <c r="C282" t="s">
        <v>41</v>
      </c>
      <c r="E282">
        <v>46</v>
      </c>
      <c r="F282">
        <v>50</v>
      </c>
      <c r="G282">
        <v>1</v>
      </c>
      <c r="H282">
        <v>5</v>
      </c>
    </row>
    <row r="283" spans="1:8">
      <c r="A283" t="s">
        <v>127</v>
      </c>
      <c r="B283">
        <v>2010</v>
      </c>
      <c r="C283" t="s">
        <v>41</v>
      </c>
      <c r="E283">
        <v>51</v>
      </c>
      <c r="F283">
        <v>55</v>
      </c>
      <c r="G283">
        <v>1</v>
      </c>
      <c r="H28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Devin E Cheeks</dc:creator>
  <cp:keywords/>
  <dc:description/>
  <cp:lastModifiedBy>Ingrid Nilsson</cp:lastModifiedBy>
  <cp:revision/>
  <dcterms:created xsi:type="dcterms:W3CDTF">2024-08-06T17:08:53Z</dcterms:created>
  <dcterms:modified xsi:type="dcterms:W3CDTF">2025-05-28T20:11:56Z</dcterms:modified>
  <cp:category/>
  <cp:contentStatus/>
</cp:coreProperties>
</file>